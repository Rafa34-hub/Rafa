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  <Override PartName="/xl/drawings/shapes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2" activeTab="2" autoFilterDateGrouping="1"/>
  </bookViews>
  <sheets>
    <sheet name="JULIOL- DESEMBRE" sheetId="1" state="hidden" r:id="rId1"/>
    <sheet name="2023 ACT" sheetId="2" state="hidden" r:id="rId2"/>
    <sheet name="CRONO 25-26" sheetId="3" state="visible" r:id="rId3"/>
    <sheet name="PLANIFICACIÓ 26-27" sheetId="4" state="visible" r:id="rId4"/>
    <sheet name="NO2024 OK" sheetId="5" state="hidden" r:id="rId5"/>
    <sheet name="NOK2024" sheetId="6" state="hidden" r:id="rId6"/>
  </sheets>
  <definedNames>
    <definedName name="_xlnm.Print_Area" localSheetId="0">'JULIOL- DESEMBRE'!$A$2:$BG$61</definedName>
    <definedName name="_xlnm.Print_Area" localSheetId="1">'2023 ACT'!$A$48:$AX$89</definedName>
    <definedName name="area2" localSheetId="2">'CRONO 25-26'!$A$1:$AY$65</definedName>
    <definedName name="_xlnm.Print_Area" localSheetId="2">'CRONO 25-26'!$A$89:$AN$177</definedName>
    <definedName name="area2" localSheetId="4">'NO2024 OK'!$A$1:$BA$96</definedName>
    <definedName name="_xlnm.Print_Area" localSheetId="4">'NO2024 OK'!$A$1:$BA$96</definedName>
    <definedName name="_xlnm.Print_Area" localSheetId="5">'NOK2024'!$A$1:$AX$98</definedName>
  </definedNames>
  <calcPr calcId="191028" fullCalcOnLoad="1" calcCompleted="0"/>
</workbook>
</file>

<file path=xl/styles.xml><?xml version="1.0" encoding="utf-8"?>
<styleSheet xmlns="http://schemas.openxmlformats.org/spreadsheetml/2006/main">
  <numFmts count="3">
    <numFmt numFmtId="164" formatCode="_-* #,##0.00\ &quot;€&quot;_-;\-* #,##0.00\ &quot;€&quot;_-;_-* &quot;-&quot;??\ &quot;€&quot;_-;_-@_-"/>
    <numFmt numFmtId="165" formatCode="yyyy-mm-dd"/>
    <numFmt numFmtId="166" formatCode="dd/mm/yyyy"/>
  </numFmts>
  <fonts count="81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rgb="FFFF00FF"/>
      <sz val="12"/>
      <scheme val="minor"/>
    </font>
    <font>
      <name val="Calibri"/>
      <family val="2"/>
      <b val="1"/>
      <color rgb="FF6600CC"/>
      <sz val="1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ahoma"/>
      <family val="2"/>
      <b val="1"/>
      <sz val="9"/>
    </font>
    <font>
      <name val="Tahoma"/>
      <family val="2"/>
      <sz val="9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rgb="FFC00000"/>
      <sz val="12"/>
      <scheme val="minor"/>
    </font>
    <font>
      <name val="Calibri"/>
      <family val="2"/>
      <color rgb="FF00B0F0"/>
      <sz val="11"/>
      <scheme val="minor"/>
    </font>
    <font>
      <name val="Calibri"/>
      <charset val="134"/>
      <family val="2"/>
      <color theme="0"/>
      <sz val="11"/>
      <scheme val="minor"/>
    </font>
    <font>
      <name val="Calibri"/>
      <family val="2"/>
      <color rgb="FF000000"/>
      <sz val="11"/>
    </font>
    <font>
      <name val="Calibri"/>
      <charset val="134"/>
      <family val="2"/>
      <color theme="1"/>
      <sz val="12"/>
      <scheme val="minor"/>
    </font>
    <font>
      <name val="Calibri"/>
      <charset val="134"/>
      <family val="2"/>
      <b val="1"/>
      <color theme="1"/>
      <sz val="11"/>
      <scheme val="minor"/>
    </font>
    <font>
      <name val="Calibri"/>
      <family val="2"/>
      <color rgb="FFFFFFFF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5" tint="-0.249977111117893"/>
      <sz val="11"/>
      <scheme val="minor"/>
    </font>
    <font>
      <name val="Calibri"/>
      <family val="2"/>
      <b val="1"/>
      <color theme="5" tint="-0.249977111117893"/>
      <sz val="14"/>
      <scheme val="minor"/>
    </font>
    <font>
      <name val="Calibri"/>
      <family val="2"/>
      <b val="1"/>
      <color rgb="FFFF00FF"/>
      <sz val="36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00B0F0"/>
      <sz val="16"/>
      <scheme val="minor"/>
    </font>
    <font>
      <name val="Calibri"/>
      <charset val="1"/>
      <family val="2"/>
      <color rgb="FF444444"/>
      <sz val="11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6"/>
      <scheme val="minor"/>
    </font>
    <font>
      <name val="Calibri"/>
      <family val="2"/>
      <color theme="1"/>
      <sz val="8"/>
      <scheme val="minor"/>
    </font>
    <font>
      <name val="Calibri"/>
      <family val="2"/>
      <color theme="0"/>
      <sz val="9"/>
      <scheme val="minor"/>
    </font>
    <font>
      <name val="Calibri"/>
      <family val="2"/>
      <color theme="0"/>
      <sz val="8"/>
      <scheme val="minor"/>
    </font>
    <font>
      <name val="Calibri"/>
      <family val="2"/>
      <b val="1"/>
      <color rgb="FF002060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6"/>
      <scheme val="minor"/>
    </font>
    <font>
      <name val="Calibri"/>
      <family val="2"/>
      <b val="1"/>
      <sz val="11"/>
      <scheme val="minor"/>
    </font>
    <font>
      <name val="Calibri"/>
      <family val="2"/>
      <sz val="8"/>
      <scheme val="minor"/>
    </font>
    <font>
      <name val="Calibri"/>
      <charset val="134"/>
      <family val="2"/>
      <b val="1"/>
      <color theme="1"/>
      <sz val="8"/>
      <scheme val="minor"/>
    </font>
    <font>
      <name val="Calibri"/>
      <charset val="134"/>
      <family val="2"/>
      <b val="1"/>
      <color theme="1"/>
      <sz val="16"/>
      <scheme val="minor"/>
    </font>
    <font>
      <name val="Calibri"/>
      <charset val="134"/>
      <family val="2"/>
      <b val="1"/>
      <sz val="11"/>
      <scheme val="minor"/>
    </font>
    <font>
      <name val="Calibri"/>
      <charset val="134"/>
      <family val="2"/>
      <color theme="1"/>
      <sz val="8"/>
      <scheme val="minor"/>
    </font>
    <font>
      <name val="Calibri"/>
      <family val="2"/>
      <b val="1"/>
      <color rgb="FFFF0000"/>
      <sz val="10"/>
      <scheme val="minor"/>
    </font>
    <font>
      <name val="Calibri"/>
      <charset val="134"/>
      <family val="2"/>
      <color theme="1"/>
      <sz val="7"/>
      <scheme val="minor"/>
    </font>
    <font>
      <name val="Calibri"/>
      <family val="2"/>
      <b val="1"/>
      <color rgb="FFFF6699"/>
      <sz val="16"/>
      <scheme val="minor"/>
    </font>
    <font>
      <name val="Calibri"/>
      <family val="2"/>
      <b val="1"/>
      <color rgb="FFFF0000"/>
      <sz val="20"/>
      <scheme val="minor"/>
    </font>
    <font>
      <name val="Aptos Black"/>
      <family val="2"/>
      <color theme="1"/>
      <sz val="11"/>
    </font>
    <font>
      <name val="Calibri"/>
      <family val="2"/>
      <color theme="1"/>
      <sz val="9"/>
      <scheme val="minor"/>
    </font>
    <font>
      <name val="Calibri"/>
      <family val="2"/>
      <b val="1"/>
      <color rgb="FFFF66CC"/>
      <sz val="16"/>
      <scheme val="minor"/>
    </font>
    <font>
      <name val="Calibri"/>
      <family val="2"/>
      <b val="1"/>
      <color rgb="FF00B0F0"/>
      <sz val="12"/>
      <scheme val="minor"/>
    </font>
    <font>
      <name val="Calibri"/>
      <family val="2"/>
      <b val="1"/>
      <color rgb="FF92D050"/>
      <sz val="14"/>
      <scheme val="minor"/>
    </font>
    <font>
      <name val="Calibri"/>
      <family val="2"/>
      <b val="1"/>
      <color theme="1"/>
      <sz val="10"/>
      <scheme val="minor"/>
    </font>
    <font>
      <name val="Calibri"/>
      <charset val="134"/>
      <family val="2"/>
      <color rgb="FFFF0000"/>
      <sz val="14"/>
      <scheme val="minor"/>
    </font>
    <font>
      <name val="Calibri"/>
      <family val="2"/>
      <color rgb="FFFF33CC"/>
      <sz val="11"/>
      <scheme val="minor"/>
    </font>
    <font>
      <name val="Calibri"/>
      <family val="2"/>
      <b val="1"/>
      <color rgb="FF0070C0"/>
      <sz val="12"/>
      <scheme val="minor"/>
    </font>
    <font>
      <name val="Calibri"/>
      <family val="2"/>
      <b val="1"/>
      <color rgb="FF0070C0"/>
      <sz val="16"/>
      <scheme val="minor"/>
    </font>
    <font>
      <name val="Calibri"/>
      <charset val="134"/>
      <family val="2"/>
      <b val="1"/>
      <color theme="0"/>
      <sz val="11"/>
      <scheme val="minor"/>
    </font>
    <font>
      <name val="Calibri"/>
      <family val="2"/>
      <b val="1"/>
      <color rgb="FF0070C0"/>
      <sz val="72"/>
      <scheme val="minor"/>
    </font>
    <font>
      <name val="Calibri"/>
      <b val="1"/>
      <sz val="11"/>
    </font>
    <font>
      <name val="Calibri"/>
      <sz val="11"/>
    </font>
    <font>
      <name val="Calibri"/>
      <b val="1"/>
      <sz val="9"/>
    </font>
    <font>
      <name val="Calibri"/>
      <sz val="9"/>
    </font>
    <font>
      <name val="Calibri"/>
      <i val="1"/>
      <sz val="10"/>
    </font>
    <font>
      <name val="Arial"/>
      <b val="1"/>
      <sz val="14"/>
    </font>
    <font>
      <name val="Arial"/>
      <i val="1"/>
      <sz val="9"/>
    </font>
    <font>
      <name val="Arial"/>
      <b val="1"/>
      <color rgb="FFFFFFFF"/>
    </font>
    <font>
      <name val="Arial"/>
      <sz val="10"/>
    </font>
    <font>
      <name val="Arial"/>
      <b val="1"/>
    </font>
    <font>
      <name val="Arial"/>
      <sz val="9"/>
    </font>
  </fonts>
  <fills count="9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3F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lightHorizontal">
        <bgColor rgb="FF00FF00"/>
      </patternFill>
    </fill>
    <fill>
      <patternFill patternType="lightVertical">
        <bgColor rgb="FF00FF00"/>
      </patternFill>
    </fill>
    <fill>
      <patternFill patternType="gray0625">
        <bgColor rgb="FF00FF00"/>
      </patternFill>
    </fill>
    <fill>
      <patternFill patternType="gray0625">
        <bgColor rgb="FF9999FF"/>
      </patternFill>
    </fill>
    <fill>
      <patternFill patternType="solid">
        <fgColor rgb="FF9999FF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7CE3F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gray0625">
        <bgColor rgb="FFFF7C80"/>
      </patternFill>
    </fill>
    <fill>
      <patternFill patternType="solid">
        <fgColor rgb="FFFF7C80"/>
        <bgColor indexed="64"/>
      </patternFill>
    </fill>
    <fill>
      <patternFill patternType="solid">
        <fgColor rgb="FFFF9D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3ECACF"/>
        <bgColor indexed="64"/>
      </patternFill>
    </fill>
    <fill>
      <patternFill patternType="solid">
        <fgColor rgb="FFF46D01"/>
        <bgColor indexed="64"/>
      </patternFill>
    </fill>
    <fill>
      <patternFill patternType="gray0625">
        <bgColor rgb="FFF46D01"/>
      </patternFill>
    </fill>
    <fill>
      <patternFill patternType="lightVertical">
        <bgColor rgb="FFF46D01"/>
      </patternFill>
    </fill>
    <fill>
      <patternFill patternType="darkVertical"/>
    </fill>
    <fill>
      <patternFill patternType="darkVertical">
        <bgColor theme="7" tint="0.3999755851924192"/>
      </patternFill>
    </fill>
    <fill>
      <patternFill patternType="darkVertical">
        <bgColor rgb="FF30F3F8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F46C03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9A57CD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mediumGray">
        <bgColor rgb="FF00FF00"/>
      </patternFill>
    </fill>
    <fill>
      <patternFill patternType="solid">
        <fgColor theme="4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4C7E7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D9D2E9"/>
      </patternFill>
    </fill>
    <fill>
      <patternFill patternType="solid">
        <fgColor rgb="FFFFE699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B7DEE8"/>
      </patternFill>
    </fill>
    <fill>
      <patternFill patternType="solid">
        <fgColor rgb="FFE4DFEC"/>
      </patternFill>
    </fill>
    <fill>
      <patternFill patternType="solid">
        <fgColor rgb="FFD0CECE"/>
      </patternFill>
    </fill>
    <fill>
      <patternFill patternType="solid">
        <fgColor rgb="FFA9D08E"/>
      </patternFill>
    </fill>
    <fill>
      <patternFill patternType="solid">
        <fgColor rgb="FFF4B084"/>
      </patternFill>
    </fill>
    <fill>
      <patternFill patternType="solid">
        <fgColor rgb="FF9BC2E6"/>
      </patternFill>
    </fill>
    <fill>
      <patternFill patternType="solid">
        <fgColor rgb="FFFFD966"/>
      </patternFill>
    </fill>
    <fill>
      <patternFill patternType="solid">
        <fgColor rgb="FFC9C9FF"/>
      </patternFill>
    </fill>
    <fill>
      <patternFill patternType="solid">
        <fgColor rgb="FFFFC7CE"/>
      </patternFill>
    </fill>
    <fill>
      <patternFill patternType="solid">
        <fgColor rgb="FFB3E5C9"/>
      </patternFill>
    </fill>
    <fill>
      <patternFill patternType="solid">
        <fgColor rgb="FFE0C3A5"/>
      </patternFill>
    </fill>
    <fill>
      <patternFill patternType="solid">
        <fgColor rgb="FFCCE5FF"/>
      </patternFill>
    </fill>
    <fill>
      <patternFill patternType="solid">
        <fgColor rgb="FFD5A6BD"/>
      </patternFill>
    </fill>
    <fill>
      <patternFill patternType="solid">
        <fgColor rgb="FFB6D7A8"/>
      </patternFill>
    </fill>
    <fill>
      <patternFill patternType="solid">
        <fgColor rgb="FFFFE5CC"/>
      </patternFill>
    </fill>
    <fill>
      <patternFill patternType="solid">
        <fgColor rgb="FFA2C4C9"/>
      </patternFill>
    </fill>
    <fill>
      <patternFill patternType="solid">
        <fgColor theme="2" tint="-0.249977111117893"/>
      </patternFill>
    </fill>
    <fill>
      <patternFill patternType="solid">
        <fgColor rgb="FFFF0000"/>
      </patternFill>
    </fill>
    <fill>
      <patternFill patternType="solid">
        <fgColor theme="5" tint="0.5999938962981048"/>
      </patternFill>
    </fill>
    <fill>
      <patternFill patternType="solid">
        <fgColor rgb="FF1F4E78"/>
      </patternFill>
    </fill>
  </fills>
  <borders count="7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rgb="FF000000"/>
      </bottom>
      <diagonal/>
    </border>
    <border diagonalUp="1"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 style="thin">
        <color auto="1"/>
      </diagonal>
    </border>
    <border>
      <left style="double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double">
        <color auto="1"/>
      </diagonal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double">
        <color auto="1"/>
      </right>
      <top style="thick">
        <color auto="1"/>
      </top>
      <bottom style="thin">
        <color auto="1"/>
      </bottom>
      <diagonal style="double">
        <color auto="1"/>
      </diagonal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medium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</borders>
  <cellStyleXfs count="4">
    <xf numFmtId="0" fontId="0" fillId="0" borderId="0"/>
    <xf numFmtId="0" fontId="18" fillId="0" borderId="0"/>
    <xf numFmtId="44" fontId="34" fillId="0" borderId="0"/>
    <xf numFmtId="44" fontId="34" fillId="0" borderId="0"/>
  </cellStyleXfs>
  <cellXfs count="944">
    <xf numFmtId="0" fontId="0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5" borderId="0" pivotButton="0" quotePrefix="0" xfId="0"/>
    <xf numFmtId="0" fontId="0" fillId="10" borderId="0" pivotButton="0" quotePrefix="0" xfId="0"/>
    <xf numFmtId="0" fontId="0" fillId="0" borderId="0" applyAlignment="1" pivotButton="0" quotePrefix="0" xfId="0">
      <alignment textRotation="45"/>
    </xf>
    <xf numFmtId="0" fontId="0" fillId="10" borderId="3" pivotButton="0" quotePrefix="0" xfId="0"/>
    <xf numFmtId="0" fontId="6" fillId="0" borderId="11" applyAlignment="1" pivotButton="0" quotePrefix="0" xfId="0">
      <alignment horizontal="center" vertical="center" textRotation="45"/>
    </xf>
    <xf numFmtId="0" fontId="0" fillId="0" borderId="12" applyAlignment="1" pivotButton="0" quotePrefix="0" xfId="0">
      <alignment textRotation="90"/>
    </xf>
    <xf numFmtId="14" fontId="0" fillId="0" borderId="12" applyAlignment="1" pivotButton="0" quotePrefix="0" xfId="0">
      <alignment textRotation="90"/>
    </xf>
    <xf numFmtId="0" fontId="8" fillId="0" borderId="13" applyAlignment="1" pivotButton="0" quotePrefix="0" xfId="0">
      <alignment vertical="center"/>
    </xf>
    <xf numFmtId="14" fontId="8" fillId="0" borderId="14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0" fillId="0" borderId="14" pivotButton="0" quotePrefix="0" xfId="0"/>
    <xf numFmtId="0" fontId="8" fillId="0" borderId="15" applyAlignment="1" pivotButton="0" quotePrefix="0" xfId="0">
      <alignment vertical="center"/>
    </xf>
    <xf numFmtId="0" fontId="8" fillId="0" borderId="16" applyAlignment="1" pivotButton="0" quotePrefix="0" xfId="0">
      <alignment vertical="center"/>
    </xf>
    <xf numFmtId="0" fontId="0" fillId="0" borderId="16" pivotButton="0" quotePrefix="0" xfId="0"/>
    <xf numFmtId="0" fontId="8" fillId="0" borderId="17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0" fillId="0" borderId="18" pivotButton="0" quotePrefix="0" xfId="0"/>
    <xf numFmtId="0" fontId="0" fillId="11" borderId="14" pivotButton="0" quotePrefix="0" xfId="0"/>
    <xf numFmtId="0" fontId="0" fillId="13" borderId="14" pivotButton="0" quotePrefix="0" xfId="0"/>
    <xf numFmtId="0" fontId="0" fillId="6" borderId="14" pivotButton="0" quotePrefix="0" xfId="0"/>
    <xf numFmtId="0" fontId="0" fillId="14" borderId="14" pivotButton="0" quotePrefix="0" xfId="0"/>
    <xf numFmtId="0" fontId="0" fillId="15" borderId="14" pivotButton="0" quotePrefix="0" xfId="0"/>
    <xf numFmtId="0" fontId="8" fillId="5" borderId="13" applyAlignment="1" pivotButton="0" quotePrefix="0" xfId="0">
      <alignment vertical="center"/>
    </xf>
    <xf numFmtId="0" fontId="0" fillId="16" borderId="14" pivotButton="0" quotePrefix="0" xfId="0"/>
    <xf numFmtId="0" fontId="0" fillId="16" borderId="16" pivotButton="0" quotePrefix="0" xfId="0"/>
    <xf numFmtId="0" fontId="0" fillId="16" borderId="18" pivotButton="0" quotePrefix="0" xfId="0"/>
    <xf numFmtId="0" fontId="0" fillId="7" borderId="14" pivotButton="0" quotePrefix="0" xfId="0"/>
    <xf numFmtId="0" fontId="0" fillId="9" borderId="14" pivotButton="0" quotePrefix="0" xfId="0"/>
    <xf numFmtId="0" fontId="0" fillId="5" borderId="14" pivotButton="0" quotePrefix="0" xfId="0"/>
    <xf numFmtId="0" fontId="0" fillId="2" borderId="14" pivotButton="0" quotePrefix="0" xfId="0"/>
    <xf numFmtId="0" fontId="0" fillId="17" borderId="14" pivotButton="0" quotePrefix="0" xfId="0"/>
    <xf numFmtId="0" fontId="0" fillId="8" borderId="14" pivotButton="0" quotePrefix="0" xfId="0"/>
    <xf numFmtId="0" fontId="0" fillId="15" borderId="16" pivotButton="0" quotePrefix="0" xfId="0"/>
    <xf numFmtId="0" fontId="9" fillId="15" borderId="18" pivotButton="0" quotePrefix="0" xfId="0"/>
    <xf numFmtId="0" fontId="0" fillId="18" borderId="14" pivotButton="0" quotePrefix="0" xfId="0"/>
    <xf numFmtId="0" fontId="0" fillId="19" borderId="14" pivotButton="0" quotePrefix="0" xfId="0"/>
    <xf numFmtId="0" fontId="0" fillId="15" borderId="18" pivotButton="0" quotePrefix="0" xfId="0"/>
    <xf numFmtId="0" fontId="9" fillId="0" borderId="18" pivotButton="0" quotePrefix="0" xfId="0"/>
    <xf numFmtId="0" fontId="0" fillId="20" borderId="14" pivotButton="0" quotePrefix="0" xfId="0"/>
    <xf numFmtId="0" fontId="0" fillId="21" borderId="14" pivotButton="0" quotePrefix="0" xfId="0"/>
    <xf numFmtId="0" fontId="0" fillId="22" borderId="14" pivotButton="0" quotePrefix="0" xfId="0"/>
    <xf numFmtId="0" fontId="0" fillId="2" borderId="18" pivotButton="0" quotePrefix="0" xfId="0"/>
    <xf numFmtId="0" fontId="0" fillId="3" borderId="14" pivotButton="0" quotePrefix="0" xfId="0"/>
    <xf numFmtId="0" fontId="9" fillId="14" borderId="18" pivotButton="0" quotePrefix="0" xfId="0"/>
    <xf numFmtId="0" fontId="9" fillId="2" borderId="18" pivotButton="0" quotePrefix="0" xfId="0"/>
    <xf numFmtId="0" fontId="0" fillId="14" borderId="18" pivotButton="0" quotePrefix="0" xfId="0"/>
    <xf numFmtId="0" fontId="0" fillId="5" borderId="18" pivotButton="0" quotePrefix="0" xfId="0"/>
    <xf numFmtId="0" fontId="0" fillId="0" borderId="0" applyAlignment="1" pivotButton="0" quotePrefix="0" xfId="0">
      <alignment horizontal="center"/>
    </xf>
    <xf numFmtId="0" fontId="0" fillId="5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8" borderId="0" pivotButton="0" quotePrefix="0" xfId="0"/>
    <xf numFmtId="0" fontId="0" fillId="18" borderId="0" pivotButton="0" quotePrefix="0" xfId="0"/>
    <xf numFmtId="0" fontId="0" fillId="14" borderId="0" pivotButton="0" quotePrefix="0" xfId="0"/>
    <xf numFmtId="0" fontId="0" fillId="21" borderId="3" pivotButton="0" quotePrefix="0" xfId="0"/>
    <xf numFmtId="0" fontId="0" fillId="21" borderId="0" pivotButton="0" quotePrefix="0" xfId="0"/>
    <xf numFmtId="0" fontId="0" fillId="0" borderId="3" pivotButton="0" quotePrefix="0" xfId="0"/>
    <xf numFmtId="0" fontId="0" fillId="0" borderId="0" applyAlignment="1" pivotButton="0" quotePrefix="0" xfId="0">
      <alignment wrapText="1"/>
    </xf>
    <xf numFmtId="0" fontId="0" fillId="11" borderId="0" pivotButton="0" quotePrefix="0" xfId="0"/>
    <xf numFmtId="0" fontId="0" fillId="13" borderId="0" pivotButton="0" quotePrefix="0" xfId="0"/>
    <xf numFmtId="0" fontId="0" fillId="23" borderId="14" pivotButton="0" quotePrefix="0" xfId="0"/>
    <xf numFmtId="0" fontId="0" fillId="23" borderId="16" pivotButton="0" quotePrefix="0" xfId="0"/>
    <xf numFmtId="0" fontId="0" fillId="23" borderId="18" pivotButton="0" quotePrefix="0" xfId="0"/>
    <xf numFmtId="0" fontId="9" fillId="23" borderId="18" pivotButton="0" quotePrefix="0" xfId="0"/>
    <xf numFmtId="0" fontId="0" fillId="24" borderId="14" pivotButton="0" quotePrefix="0" xfId="0"/>
    <xf numFmtId="0" fontId="0" fillId="8" borderId="16" pivotButton="0" quotePrefix="0" xfId="0"/>
    <xf numFmtId="0" fontId="0" fillId="4" borderId="14" pivotButton="0" quotePrefix="0" xfId="0"/>
    <xf numFmtId="0" fontId="9" fillId="5" borderId="18" pivotButton="0" quotePrefix="0" xfId="0"/>
    <xf numFmtId="0" fontId="9" fillId="12" borderId="18" pivotButton="0" quotePrefix="0" xfId="0"/>
    <xf numFmtId="0" fontId="0" fillId="12" borderId="18" pivotButton="0" quotePrefix="0" xfId="0"/>
    <xf numFmtId="0" fontId="0" fillId="25" borderId="14" pivotButton="0" quotePrefix="0" xfId="0"/>
    <xf numFmtId="0" fontId="0" fillId="4" borderId="0" pivotButton="0" quotePrefix="0" xfId="0"/>
    <xf numFmtId="0" fontId="0" fillId="26" borderId="14" pivotButton="0" quotePrefix="0" xfId="0"/>
    <xf numFmtId="0" fontId="9" fillId="16" borderId="18" pivotButton="0" quotePrefix="0" xfId="0"/>
    <xf numFmtId="0" fontId="0" fillId="26" borderId="18" pivotButton="0" quotePrefix="0" xfId="0"/>
    <xf numFmtId="0" fontId="0" fillId="0" borderId="21" pivotButton="0" quotePrefix="0" xfId="0"/>
    <xf numFmtId="0" fontId="0" fillId="15" borderId="9" pivotButton="0" quotePrefix="0" xfId="0"/>
    <xf numFmtId="0" fontId="0" fillId="8" borderId="18" pivotButton="0" quotePrefix="0" xfId="0"/>
    <xf numFmtId="0" fontId="0" fillId="8" borderId="1" pivotButton="0" quotePrefix="0" xfId="0"/>
    <xf numFmtId="0" fontId="0" fillId="8" borderId="23" pivotButton="0" quotePrefix="0" xfId="0"/>
    <xf numFmtId="0" fontId="0" fillId="26" borderId="0" pivotButton="0" quotePrefix="0" xfId="0"/>
    <xf numFmtId="0" fontId="0" fillId="27" borderId="14" pivotButton="0" quotePrefix="0" xfId="0"/>
    <xf numFmtId="0" fontId="0" fillId="28" borderId="14" pivotButton="0" quotePrefix="0" xfId="0"/>
    <xf numFmtId="0" fontId="0" fillId="27" borderId="16" pivotButton="0" quotePrefix="0" xfId="0"/>
    <xf numFmtId="0" fontId="0" fillId="28" borderId="16" pivotButton="0" quotePrefix="0" xfId="0"/>
    <xf numFmtId="0" fontId="0" fillId="27" borderId="18" pivotButton="0" quotePrefix="0" xfId="0"/>
    <xf numFmtId="0" fontId="0" fillId="28" borderId="18" pivotButton="0" quotePrefix="0" xfId="0"/>
    <xf numFmtId="0" fontId="11" fillId="29" borderId="14" applyAlignment="1" pivotButton="0" quotePrefix="0" xfId="0">
      <alignment horizontal="center"/>
    </xf>
    <xf numFmtId="0" fontId="12" fillId="30" borderId="14" applyAlignment="1" pivotButton="0" quotePrefix="0" xfId="0">
      <alignment horizontal="center"/>
    </xf>
    <xf numFmtId="0" fontId="9" fillId="27" borderId="18" pivotButton="0" quotePrefix="0" xfId="0"/>
    <xf numFmtId="0" fontId="7" fillId="31" borderId="14" pivotButton="0" quotePrefix="0" xfId="0"/>
    <xf numFmtId="0" fontId="7" fillId="31" borderId="16" applyAlignment="1" pivotButton="0" quotePrefix="0" xfId="0">
      <alignment horizontal="center"/>
    </xf>
    <xf numFmtId="0" fontId="0" fillId="27" borderId="19" pivotButton="0" quotePrefix="0" xfId="0"/>
    <xf numFmtId="0" fontId="7" fillId="31" borderId="14" applyAlignment="1" pivotButton="0" quotePrefix="0" xfId="0">
      <alignment horizontal="center"/>
    </xf>
    <xf numFmtId="0" fontId="0" fillId="8" borderId="18" applyAlignment="1" pivotButton="0" quotePrefix="0" xfId="0">
      <alignment horizontal="center"/>
    </xf>
    <xf numFmtId="0" fontId="0" fillId="27" borderId="18" applyAlignment="1" pivotButton="0" quotePrefix="0" xfId="0">
      <alignment horizontal="center"/>
    </xf>
    <xf numFmtId="0" fontId="10" fillId="0" borderId="0" pivotButton="0" quotePrefix="0" xfId="0"/>
    <xf numFmtId="0" fontId="0" fillId="11" borderId="18" pivotButton="0" quotePrefix="0" xfId="0"/>
    <xf numFmtId="0" fontId="9" fillId="11" borderId="18" pivotButton="0" quotePrefix="0" xfId="0"/>
    <xf numFmtId="0" fontId="9" fillId="8" borderId="18" pivotButton="0" quotePrefix="0" xfId="0"/>
    <xf numFmtId="0" fontId="10" fillId="3" borderId="0" pivotButton="0" quotePrefix="0" xfId="0"/>
    <xf numFmtId="14" fontId="14" fillId="0" borderId="12" applyAlignment="1" pivotButton="0" quotePrefix="0" xfId="0">
      <alignment textRotation="90"/>
    </xf>
    <xf numFmtId="0" fontId="9" fillId="26" borderId="18" pivotButton="0" quotePrefix="0" xfId="0"/>
    <xf numFmtId="0" fontId="0" fillId="33" borderId="18" pivotButton="0" quotePrefix="0" xfId="0"/>
    <xf numFmtId="0" fontId="0" fillId="2" borderId="22" pivotButton="0" quotePrefix="0" xfId="0"/>
    <xf numFmtId="0" fontId="0" fillId="2" borderId="23" pivotButton="0" quotePrefix="0" xfId="0"/>
    <xf numFmtId="0" fontId="0" fillId="34" borderId="14" pivotButton="0" quotePrefix="0" xfId="0"/>
    <xf numFmtId="0" fontId="0" fillId="35" borderId="14" pivotButton="0" quotePrefix="0" xfId="0"/>
    <xf numFmtId="0" fontId="0" fillId="36" borderId="14" pivotButton="0" quotePrefix="0" xfId="0"/>
    <xf numFmtId="0" fontId="0" fillId="36" borderId="0" pivotButton="0" quotePrefix="0" xfId="0"/>
    <xf numFmtId="0" fontId="10" fillId="3" borderId="14" pivotButton="0" quotePrefix="0" xfId="0"/>
    <xf numFmtId="0" fontId="10" fillId="3" borderId="18" pivotButton="0" quotePrefix="0" xfId="0"/>
    <xf numFmtId="0" fontId="0" fillId="35" borderId="0" pivotButton="0" quotePrefix="0" xfId="0"/>
    <xf numFmtId="0" fontId="0" fillId="17" borderId="0" pivotButton="0" quotePrefix="0" xfId="0"/>
    <xf numFmtId="0" fontId="0" fillId="33" borderId="0" pivotButton="0" quotePrefix="0" xfId="0"/>
    <xf numFmtId="0" fontId="8" fillId="0" borderId="27" applyAlignment="1" pivotButton="0" quotePrefix="0" xfId="0">
      <alignment vertical="center"/>
    </xf>
    <xf numFmtId="0" fontId="0" fillId="15" borderId="23" pivotButton="0" quotePrefix="0" xfId="0"/>
    <xf numFmtId="0" fontId="0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0" fillId="0" borderId="6" pivotButton="0" quotePrefix="0" xfId="0"/>
    <xf numFmtId="0" fontId="0" fillId="32" borderId="18" pivotButton="0" quotePrefix="0" xfId="0"/>
    <xf numFmtId="0" fontId="0" fillId="32" borderId="28" pivotButton="0" quotePrefix="0" xfId="0"/>
    <xf numFmtId="0" fontId="0" fillId="15" borderId="28" pivotButton="0" quotePrefix="0" xfId="0"/>
    <xf numFmtId="0" fontId="0" fillId="16" borderId="28" pivotButton="0" quotePrefix="0" xfId="0"/>
    <xf numFmtId="0" fontId="0" fillId="26" borderId="28" pivotButton="0" quotePrefix="0" xfId="0"/>
    <xf numFmtId="0" fontId="0" fillId="9" borderId="28" pivotButton="0" quotePrefix="0" xfId="0"/>
    <xf numFmtId="0" fontId="0" fillId="0" borderId="28" pivotButton="0" quotePrefix="0" xfId="0"/>
    <xf numFmtId="0" fontId="0" fillId="21" borderId="18" pivotButton="0" quotePrefix="0" xfId="0"/>
    <xf numFmtId="0" fontId="0" fillId="7" borderId="29" pivotButton="0" quotePrefix="0" xfId="0"/>
    <xf numFmtId="0" fontId="15" fillId="0" borderId="18" pivotButton="0" quotePrefix="0" xfId="0"/>
    <xf numFmtId="0" fontId="23" fillId="29" borderId="14" applyAlignment="1" pivotButton="0" quotePrefix="0" xfId="0">
      <alignment horizontal="center"/>
    </xf>
    <xf numFmtId="0" fontId="0" fillId="4" borderId="18" pivotButton="0" quotePrefix="0" xfId="0"/>
    <xf numFmtId="0" fontId="0" fillId="4" borderId="19" pivotButton="0" quotePrefix="0" xfId="0"/>
    <xf numFmtId="0" fontId="7" fillId="4" borderId="14" applyAlignment="1" pivotButton="0" quotePrefix="0" xfId="0">
      <alignment horizontal="center"/>
    </xf>
    <xf numFmtId="0" fontId="0" fillId="4" borderId="18" applyAlignment="1" pivotButton="0" quotePrefix="0" xfId="0">
      <alignment horizontal="center"/>
    </xf>
    <xf numFmtId="0" fontId="9" fillId="4" borderId="18" pivotButton="0" quotePrefix="0" xfId="0"/>
    <xf numFmtId="0" fontId="24" fillId="10" borderId="0" pivotButton="0" quotePrefix="0" xfId="0"/>
    <xf numFmtId="0" fontId="0" fillId="37" borderId="14" pivotButton="0" quotePrefix="0" xfId="0"/>
    <xf numFmtId="0" fontId="0" fillId="0" borderId="9" pivotButton="0" quotePrefix="0" xfId="0"/>
    <xf numFmtId="0" fontId="0" fillId="0" borderId="30" pivotButton="0" quotePrefix="0" xfId="0"/>
    <xf numFmtId="0" fontId="9" fillId="0" borderId="14" pivotButton="0" quotePrefix="0" xfId="0"/>
    <xf numFmtId="0" fontId="16" fillId="0" borderId="18" pivotButton="0" quotePrefix="0" xfId="0"/>
    <xf numFmtId="0" fontId="18" fillId="0" borderId="0" pivotButton="0" quotePrefix="0" xfId="1"/>
    <xf numFmtId="0" fontId="0" fillId="38" borderId="14" pivotButton="0" quotePrefix="0" xfId="0"/>
    <xf numFmtId="0" fontId="0" fillId="38" borderId="16" pivotButton="0" quotePrefix="0" xfId="0"/>
    <xf numFmtId="0" fontId="0" fillId="38" borderId="18" pivotButton="0" quotePrefix="0" xfId="0"/>
    <xf numFmtId="0" fontId="9" fillId="38" borderId="18" pivotButton="0" quotePrefix="0" xfId="0"/>
    <xf numFmtId="0" fontId="0" fillId="13" borderId="23" pivotButton="0" quotePrefix="0" xfId="0"/>
    <xf numFmtId="0" fontId="0" fillId="0" borderId="23" pivotButton="0" quotePrefix="0" xfId="0"/>
    <xf numFmtId="0" fontId="13" fillId="39" borderId="14" applyAlignment="1" pivotButton="0" quotePrefix="0" xfId="0">
      <alignment horizontal="center"/>
    </xf>
    <xf numFmtId="0" fontId="13" fillId="33" borderId="14" applyAlignment="1" pivotButton="0" quotePrefix="0" xfId="0">
      <alignment horizontal="center"/>
    </xf>
    <xf numFmtId="0" fontId="7" fillId="0" borderId="16" applyAlignment="1" pivotButton="0" quotePrefix="0" xfId="0">
      <alignment horizontal="center"/>
    </xf>
    <xf numFmtId="0" fontId="0" fillId="0" borderId="8" pivotButton="0" quotePrefix="0" xfId="0"/>
    <xf numFmtId="0" fontId="0" fillId="37" borderId="7" pivotButton="0" quotePrefix="0" xfId="0"/>
    <xf numFmtId="0" fontId="0" fillId="27" borderId="20" pivotButton="0" quotePrefix="0" xfId="0"/>
    <xf numFmtId="0" fontId="12" fillId="0" borderId="14" applyAlignment="1" pivotButton="0" quotePrefix="0" xfId="0">
      <alignment horizontal="center"/>
    </xf>
    <xf numFmtId="0" fontId="7" fillId="31" borderId="7" applyAlignment="1" pivotButton="0" quotePrefix="0" xfId="0">
      <alignment horizontal="center"/>
    </xf>
    <xf numFmtId="0" fontId="7" fillId="31" borderId="8" applyAlignment="1" pivotButton="0" quotePrefix="0" xfId="0">
      <alignment horizontal="center"/>
    </xf>
    <xf numFmtId="0" fontId="7" fillId="31" borderId="9" applyAlignment="1" pivotButton="0" quotePrefix="0" xfId="0">
      <alignment horizontal="center"/>
    </xf>
    <xf numFmtId="0" fontId="0" fillId="0" borderId="7" pivotButton="0" quotePrefix="0" xfId="0"/>
    <xf numFmtId="0" fontId="7" fillId="0" borderId="14" applyAlignment="1" pivotButton="0" quotePrefix="0" xfId="0">
      <alignment horizontal="center"/>
    </xf>
    <xf numFmtId="0" fontId="0" fillId="8" borderId="14" applyAlignment="1" pivotButton="0" quotePrefix="0" xfId="0">
      <alignment vertical="center"/>
    </xf>
    <xf numFmtId="0" fontId="0" fillId="8" borderId="14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7" fillId="3" borderId="16" applyAlignment="1" pivotButton="0" quotePrefix="0" xfId="0">
      <alignment horizontal="center"/>
    </xf>
    <xf numFmtId="0" fontId="0" fillId="3" borderId="18" applyAlignment="1" pivotButton="0" quotePrefix="0" xfId="0">
      <alignment horizontal="center"/>
    </xf>
    <xf numFmtId="0" fontId="0" fillId="3" borderId="16" pivotButton="0" quotePrefix="0" xfId="0"/>
    <xf numFmtId="14" fontId="0" fillId="0" borderId="32" applyAlignment="1" pivotButton="0" quotePrefix="0" xfId="0">
      <alignment textRotation="90"/>
    </xf>
    <xf numFmtId="0" fontId="0" fillId="37" borderId="33" pivotButton="0" quotePrefix="0" xfId="0"/>
    <xf numFmtId="0" fontId="0" fillId="0" borderId="34" pivotButton="0" quotePrefix="0" xfId="0"/>
    <xf numFmtId="0" fontId="0" fillId="37" borderId="8" pivotButton="0" quotePrefix="0" xfId="0"/>
    <xf numFmtId="0" fontId="0" fillId="28" borderId="18" applyAlignment="1" pivotButton="0" quotePrefix="0" xfId="0">
      <alignment horizontal="center"/>
    </xf>
    <xf numFmtId="0" fontId="0" fillId="14" borderId="16" pivotButton="0" quotePrefix="0" xfId="0"/>
    <xf numFmtId="0" fontId="0" fillId="40" borderId="16" pivotButton="0" quotePrefix="0" xfId="0"/>
    <xf numFmtId="0" fontId="0" fillId="40" borderId="14" pivotButton="0" quotePrefix="0" xfId="0"/>
    <xf numFmtId="0" fontId="0" fillId="40" borderId="0" pivotButton="0" quotePrefix="0" xfId="0"/>
    <xf numFmtId="0" fontId="0" fillId="27" borderId="7" pivotButton="0" quotePrefix="0" xfId="0"/>
    <xf numFmtId="0" fontId="0" fillId="11" borderId="35" pivotButton="0" quotePrefix="0" xfId="0"/>
    <xf numFmtId="0" fontId="0" fillId="0" borderId="0" applyAlignment="1" pivotButton="0" quotePrefix="0" xfId="0">
      <alignment horizontal="left"/>
    </xf>
    <xf numFmtId="0" fontId="0" fillId="28" borderId="0" pivotButton="0" quotePrefix="0" xfId="0"/>
    <xf numFmtId="0" fontId="0" fillId="27" borderId="9" pivotButton="0" quotePrefix="0" xfId="0"/>
    <xf numFmtId="0" fontId="0" fillId="38" borderId="34" pivotButton="0" quotePrefix="0" xfId="0"/>
    <xf numFmtId="0" fontId="0" fillId="37" borderId="35" pivotButton="0" quotePrefix="0" xfId="0"/>
    <xf numFmtId="14" fontId="0" fillId="0" borderId="36" applyAlignment="1" pivotButton="0" quotePrefix="0" xfId="0">
      <alignment textRotation="90"/>
    </xf>
    <xf numFmtId="14" fontId="0" fillId="0" borderId="37" applyAlignment="1" pivotButton="0" quotePrefix="0" xfId="0">
      <alignment textRotation="90"/>
    </xf>
    <xf numFmtId="0" fontId="0" fillId="27" borderId="34" pivotButton="0" quotePrefix="0" xfId="0"/>
    <xf numFmtId="14" fontId="0" fillId="0" borderId="38" applyAlignment="1" pivotButton="0" quotePrefix="0" xfId="0">
      <alignment textRotation="90"/>
    </xf>
    <xf numFmtId="14" fontId="0" fillId="0" borderId="39" applyAlignment="1" pivotButton="0" quotePrefix="0" xfId="0">
      <alignment textRotation="90"/>
    </xf>
    <xf numFmtId="0" fontId="0" fillId="27" borderId="35" pivotButton="0" quotePrefix="0" xfId="0"/>
    <xf numFmtId="0" fontId="0" fillId="0" borderId="35" pivotButton="0" quotePrefix="0" xfId="0"/>
    <xf numFmtId="0" fontId="27" fillId="0" borderId="13" applyAlignment="1" pivotButton="0" quotePrefix="0" xfId="0">
      <alignment vertical="center"/>
    </xf>
    <xf numFmtId="14" fontId="27" fillId="0" borderId="14" applyAlignment="1" pivotButton="0" quotePrefix="0" xfId="0">
      <alignment vertical="center"/>
    </xf>
    <xf numFmtId="0" fontId="27" fillId="0" borderId="14" applyAlignment="1" pivotButton="0" quotePrefix="0" xfId="0">
      <alignment vertical="center"/>
    </xf>
    <xf numFmtId="0" fontId="28" fillId="13" borderId="14" pivotButton="0" quotePrefix="0" xfId="0"/>
    <xf numFmtId="0" fontId="0" fillId="28" borderId="3" pivotButton="0" quotePrefix="0" xfId="0"/>
    <xf numFmtId="0" fontId="0" fillId="5" borderId="16" pivotButton="0" quotePrefix="0" xfId="0"/>
    <xf numFmtId="0" fontId="0" fillId="27" borderId="40" pivotButton="0" quotePrefix="0" xfId="0"/>
    <xf numFmtId="0" fontId="0" fillId="41" borderId="8" pivotButton="0" quotePrefix="0" xfId="0"/>
    <xf numFmtId="0" fontId="0" fillId="41" borderId="9" pivotButton="0" quotePrefix="0" xfId="0"/>
    <xf numFmtId="0" fontId="0" fillId="41" borderId="14" pivotButton="0" quotePrefix="0" xfId="0"/>
    <xf numFmtId="0" fontId="0" fillId="41" borderId="33" pivotButton="0" quotePrefix="0" xfId="0"/>
    <xf numFmtId="0" fontId="0" fillId="42" borderId="14" pivotButton="0" quotePrefix="0" xfId="0"/>
    <xf numFmtId="0" fontId="0" fillId="42" borderId="33" pivotButton="0" quotePrefix="0" xfId="0"/>
    <xf numFmtId="0" fontId="0" fillId="13" borderId="33" pivotButton="0" quotePrefix="0" xfId="0"/>
    <xf numFmtId="0" fontId="0" fillId="13" borderId="6" pivotButton="0" quotePrefix="0" xfId="0"/>
    <xf numFmtId="0" fontId="0" fillId="5" borderId="9" pivotButton="0" quotePrefix="0" xfId="0"/>
    <xf numFmtId="0" fontId="0" fillId="5" borderId="35" pivotButton="0" quotePrefix="0" xfId="0"/>
    <xf numFmtId="0" fontId="0" fillId="5" borderId="33" pivotButton="0" quotePrefix="0" xfId="0"/>
    <xf numFmtId="0" fontId="0" fillId="9" borderId="9" pivotButton="0" quotePrefix="0" xfId="0"/>
    <xf numFmtId="0" fontId="0" fillId="9" borderId="33" pivotButton="0" quotePrefix="0" xfId="0"/>
    <xf numFmtId="0" fontId="0" fillId="9" borderId="31" pivotButton="0" quotePrefix="0" xfId="0"/>
    <xf numFmtId="0" fontId="0" fillId="42" borderId="9" pivotButton="0" quotePrefix="0" xfId="0"/>
    <xf numFmtId="0" fontId="0" fillId="28" borderId="9" pivotButton="0" quotePrefix="0" xfId="0"/>
    <xf numFmtId="0" fontId="29" fillId="13" borderId="14" pivotButton="0" quotePrefix="0" xfId="0"/>
    <xf numFmtId="0" fontId="0" fillId="16" borderId="23" pivotButton="0" quotePrefix="0" xfId="0"/>
    <xf numFmtId="0" fontId="30" fillId="15" borderId="14" pivotButton="0" quotePrefix="0" xfId="0"/>
    <xf numFmtId="0" fontId="30" fillId="15" borderId="18" pivotButton="0" quotePrefix="0" xfId="0"/>
    <xf numFmtId="14" fontId="0" fillId="0" borderId="41" applyAlignment="1" pivotButton="0" quotePrefix="0" xfId="0">
      <alignment textRotation="90"/>
    </xf>
    <xf numFmtId="0" fontId="0" fillId="9" borderId="16" pivotButton="0" quotePrefix="0" xfId="0"/>
    <xf numFmtId="0" fontId="0" fillId="9" borderId="18" pivotButton="0" quotePrefix="0" xfId="0"/>
    <xf numFmtId="0" fontId="0" fillId="4" borderId="16" pivotButton="0" quotePrefix="0" xfId="0"/>
    <xf numFmtId="0" fontId="0" fillId="43" borderId="14" pivotButton="0" quotePrefix="0" xfId="0"/>
    <xf numFmtId="0" fontId="24" fillId="0" borderId="0" pivotButton="0" quotePrefix="0" xfId="0"/>
    <xf numFmtId="0" fontId="0" fillId="43" borderId="23" pivotButton="0" quotePrefix="0" xfId="0"/>
    <xf numFmtId="0" fontId="31" fillId="0" borderId="0" pivotButton="0" quotePrefix="0" xfId="0"/>
    <xf numFmtId="0" fontId="7" fillId="43" borderId="23" pivotButton="0" quotePrefix="0" xfId="0"/>
    <xf numFmtId="0" fontId="0" fillId="6" borderId="18" pivotButton="0" quotePrefix="0" xfId="0"/>
    <xf numFmtId="0" fontId="0" fillId="6" borderId="0" pivotButton="0" quotePrefix="0" xfId="0"/>
    <xf numFmtId="0" fontId="32" fillId="0" borderId="14" pivotButton="0" quotePrefix="0" xfId="0"/>
    <xf numFmtId="0" fontId="6" fillId="0" borderId="14" pivotButton="0" quotePrefix="0" xfId="0"/>
    <xf numFmtId="0" fontId="0" fillId="11" borderId="28" pivotButton="0" quotePrefix="0" xfId="0"/>
    <xf numFmtId="0" fontId="30" fillId="15" borderId="28" pivotButton="0" quotePrefix="0" xfId="0"/>
    <xf numFmtId="0" fontId="7" fillId="11" borderId="28" pivotButton="0" quotePrefix="0" xfId="0"/>
    <xf numFmtId="0" fontId="0" fillId="44" borderId="18" pivotButton="0" quotePrefix="0" xfId="0"/>
    <xf numFmtId="0" fontId="0" fillId="45" borderId="28" pivotButton="0" quotePrefix="0" xfId="0"/>
    <xf numFmtId="0" fontId="0" fillId="14" borderId="28" pivotButton="0" quotePrefix="0" xfId="0"/>
    <xf numFmtId="0" fontId="0" fillId="46" borderId="28" pivotButton="0" quotePrefix="0" xfId="0"/>
    <xf numFmtId="0" fontId="0" fillId="25" borderId="28" pivotButton="0" quotePrefix="0" xfId="0"/>
    <xf numFmtId="0" fontId="0" fillId="0" borderId="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9" borderId="35" pivotButton="0" quotePrefix="0" xfId="0"/>
    <xf numFmtId="0" fontId="0" fillId="9" borderId="7" pivotButton="0" quotePrefix="0" xfId="0"/>
    <xf numFmtId="0" fontId="0" fillId="47" borderId="18" pivotButton="0" quotePrefix="0" xfId="0"/>
    <xf numFmtId="0" fontId="9" fillId="47" borderId="18" pivotButton="0" quotePrefix="0" xfId="0"/>
    <xf numFmtId="0" fontId="0" fillId="9" borderId="43" pivotButton="0" quotePrefix="0" xfId="0"/>
    <xf numFmtId="0" fontId="0" fillId="9" borderId="44" pivotButton="0" quotePrefix="0" xfId="0"/>
    <xf numFmtId="0" fontId="0" fillId="9" borderId="45" pivotButton="0" quotePrefix="0" xfId="0"/>
    <xf numFmtId="0" fontId="0" fillId="14" borderId="0" applyAlignment="1" pivotButton="0" quotePrefix="0" xfId="0">
      <alignment horizontal="left"/>
    </xf>
    <xf numFmtId="0" fontId="0" fillId="14" borderId="0" applyAlignment="1" pivotButton="0" quotePrefix="0" xfId="0">
      <alignment horizontal="center"/>
    </xf>
    <xf numFmtId="0" fontId="0" fillId="45" borderId="3" applyAlignment="1" pivotButton="0" quotePrefix="0" xfId="0">
      <alignment horizontal="center"/>
    </xf>
    <xf numFmtId="0" fontId="0" fillId="43" borderId="0" pivotButton="0" quotePrefix="0" xfId="0"/>
    <xf numFmtId="0" fontId="0" fillId="25" borderId="0" pivotButton="0" quotePrefix="0" xfId="0"/>
    <xf numFmtId="0" fontId="37" fillId="0" borderId="14" pivotButton="0" quotePrefix="0" xfId="0"/>
    <xf numFmtId="0" fontId="0" fillId="5" borderId="28" pivotButton="0" quotePrefix="0" xfId="0"/>
    <xf numFmtId="0" fontId="0" fillId="34" borderId="16" pivotButton="0" quotePrefix="0" xfId="0"/>
    <xf numFmtId="0" fontId="0" fillId="9" borderId="6" pivotButton="0" quotePrefix="0" xfId="0"/>
    <xf numFmtId="0" fontId="9" fillId="5" borderId="0" pivotButton="0" quotePrefix="0" xfId="0"/>
    <xf numFmtId="0" fontId="0" fillId="48" borderId="18" pivotButton="0" quotePrefix="0" xfId="0"/>
    <xf numFmtId="0" fontId="0" fillId="44" borderId="0" pivotButton="0" quotePrefix="0" xfId="0"/>
    <xf numFmtId="0" fontId="31" fillId="18" borderId="0" pivotButton="0" quotePrefix="0" xfId="0"/>
    <xf numFmtId="164" fontId="0" fillId="9" borderId="0" pivotButton="0" quotePrefix="0" xfId="3"/>
    <xf numFmtId="0" fontId="0" fillId="34" borderId="0" pivotButton="0" quotePrefix="0" xfId="0"/>
    <xf numFmtId="0" fontId="36" fillId="11" borderId="28" pivotButton="0" quotePrefix="0" xfId="0"/>
    <xf numFmtId="0" fontId="7" fillId="7" borderId="14" pivotButton="0" quotePrefix="0" xfId="0"/>
    <xf numFmtId="0" fontId="36" fillId="0" borderId="14" pivotButton="0" quotePrefix="0" xfId="0"/>
    <xf numFmtId="0" fontId="0" fillId="48" borderId="4" pivotButton="0" quotePrefix="0" xfId="0"/>
    <xf numFmtId="0" fontId="0" fillId="15" borderId="46" pivotButton="0" quotePrefix="0" xfId="0"/>
    <xf numFmtId="0" fontId="0" fillId="49" borderId="14" pivotButton="0" quotePrefix="0" xfId="0"/>
    <xf numFmtId="0" fontId="36" fillId="0" borderId="0" pivotButton="0" quotePrefix="0" xfId="0"/>
    <xf numFmtId="0" fontId="0" fillId="17" borderId="0" applyAlignment="1" pivotButton="0" quotePrefix="0" xfId="0">
      <alignment horizontal="left"/>
    </xf>
    <xf numFmtId="0" fontId="0" fillId="50" borderId="14" pivotButton="0" quotePrefix="0" xfId="0"/>
    <xf numFmtId="0" fontId="0" fillId="17" borderId="18" pivotButton="0" quotePrefix="0" xfId="0"/>
    <xf numFmtId="0" fontId="0" fillId="11" borderId="0" applyAlignment="1" pivotButton="0" quotePrefix="0" xfId="0">
      <alignment horizontal="center"/>
    </xf>
    <xf numFmtId="0" fontId="38" fillId="11" borderId="0" pivotButton="0" quotePrefix="0" xfId="0"/>
    <xf numFmtId="0" fontId="0" fillId="11" borderId="16" pivotButton="0" quotePrefix="0" xfId="0"/>
    <xf numFmtId="0" fontId="0" fillId="26" borderId="7" pivotButton="0" quotePrefix="0" xfId="0"/>
    <xf numFmtId="0" fontId="0" fillId="15" borderId="48" pivotButton="0" quotePrefix="0" xfId="0"/>
    <xf numFmtId="0" fontId="0" fillId="14" borderId="23" pivotButton="0" quotePrefix="0" xfId="0"/>
    <xf numFmtId="0" fontId="9" fillId="0" borderId="4" pivotButton="0" quotePrefix="0" xfId="0"/>
    <xf numFmtId="0" fontId="39" fillId="0" borderId="14" pivotButton="0" quotePrefix="0" xfId="0"/>
    <xf numFmtId="0" fontId="0" fillId="51" borderId="14" pivotButton="0" quotePrefix="0" xfId="0"/>
    <xf numFmtId="0" fontId="0" fillId="51" borderId="0" pivotButton="0" quotePrefix="0" xfId="0"/>
    <xf numFmtId="0" fontId="0" fillId="52" borderId="14" pivotButton="0" quotePrefix="0" xfId="0"/>
    <xf numFmtId="0" fontId="0" fillId="54" borderId="14" pivotButton="0" quotePrefix="0" xfId="0"/>
    <xf numFmtId="0" fontId="0" fillId="54" borderId="18" pivotButton="0" quotePrefix="0" xfId="0"/>
    <xf numFmtId="0" fontId="0" fillId="22" borderId="0" pivotButton="0" quotePrefix="0" xfId="0"/>
    <xf numFmtId="0" fontId="10" fillId="52" borderId="14" pivotButton="0" quotePrefix="0" xfId="0"/>
    <xf numFmtId="0" fontId="40" fillId="52" borderId="14" pivotButton="0" quotePrefix="0" xfId="0"/>
    <xf numFmtId="0" fontId="10" fillId="53" borderId="14" pivotButton="0" quotePrefix="0" xfId="0"/>
    <xf numFmtId="0" fontId="39" fillId="54" borderId="14" applyAlignment="1" pivotButton="0" quotePrefix="0" xfId="0">
      <alignment horizontal="center"/>
    </xf>
    <xf numFmtId="0" fontId="16" fillId="54" borderId="14" applyAlignment="1" pivotButton="0" quotePrefix="0" xfId="0">
      <alignment horizontal="center"/>
    </xf>
    <xf numFmtId="0" fontId="0" fillId="55" borderId="14" pivotButton="0" quotePrefix="0" xfId="0"/>
    <xf numFmtId="0" fontId="0" fillId="55" borderId="18" pivotButton="0" quotePrefix="0" xfId="0"/>
    <xf numFmtId="0" fontId="0" fillId="43" borderId="20" pivotButton="0" quotePrefix="0" xfId="0"/>
    <xf numFmtId="0" fontId="0" fillId="43" borderId="1" pivotButton="0" quotePrefix="0" xfId="0"/>
    <xf numFmtId="0" fontId="0" fillId="25" borderId="7" pivotButton="0" quotePrefix="0" xfId="0"/>
    <xf numFmtId="0" fontId="0" fillId="15" borderId="7" pivotButton="0" quotePrefix="0" xfId="0"/>
    <xf numFmtId="0" fontId="41" fillId="15" borderId="14" pivotButton="0" quotePrefix="0" xfId="0"/>
    <xf numFmtId="0" fontId="0" fillId="43" borderId="50" pivotButton="0" quotePrefix="0" xfId="0"/>
    <xf numFmtId="0" fontId="43" fillId="25" borderId="9" pivotButton="0" quotePrefix="0" xfId="0"/>
    <xf numFmtId="0" fontId="44" fillId="25" borderId="14" pivotButton="0" quotePrefix="0" xfId="0"/>
    <xf numFmtId="0" fontId="0" fillId="25" borderId="52" pivotButton="0" quotePrefix="0" xfId="0"/>
    <xf numFmtId="0" fontId="0" fillId="16" borderId="52" pivotButton="0" quotePrefix="0" xfId="0"/>
    <xf numFmtId="0" fontId="45" fillId="45" borderId="28" pivotButton="0" quotePrefix="0" xfId="0"/>
    <xf numFmtId="0" fontId="46" fillId="45" borderId="51" applyAlignment="1" pivotButton="0" quotePrefix="0" xfId="0">
      <alignment horizontal="right"/>
    </xf>
    <xf numFmtId="0" fontId="5" fillId="45" borderId="28" pivotButton="0" quotePrefix="0" xfId="0"/>
    <xf numFmtId="0" fontId="0" fillId="15" borderId="52" pivotButton="0" quotePrefix="0" xfId="0"/>
    <xf numFmtId="0" fontId="6" fillId="45" borderId="52" pivotButton="0" quotePrefix="0" xfId="0"/>
    <xf numFmtId="0" fontId="0" fillId="34" borderId="30" pivotButton="0" quotePrefix="0" xfId="0"/>
    <xf numFmtId="0" fontId="0" fillId="5" borderId="49" pivotButton="0" quotePrefix="0" xfId="0"/>
    <xf numFmtId="0" fontId="42" fillId="5" borderId="18" pivotButton="0" quotePrefix="0" xfId="0"/>
    <xf numFmtId="0" fontId="42" fillId="5" borderId="6" pivotButton="0" quotePrefix="0" xfId="0"/>
    <xf numFmtId="0" fontId="46" fillId="43" borderId="7" applyAlignment="1" pivotButton="0" quotePrefix="0" xfId="0">
      <alignment horizontal="right"/>
    </xf>
    <xf numFmtId="0" fontId="46" fillId="43" borderId="14" applyAlignment="1" pivotButton="0" quotePrefix="0" xfId="0">
      <alignment horizontal="right"/>
    </xf>
    <xf numFmtId="0" fontId="46" fillId="43" borderId="14" pivotButton="0" quotePrefix="0" xfId="0"/>
    <xf numFmtId="0" fontId="0" fillId="43" borderId="49" pivotButton="0" quotePrefix="0" xfId="0"/>
    <xf numFmtId="0" fontId="46" fillId="43" borderId="50" applyAlignment="1" pivotButton="0" quotePrefix="0" xfId="0">
      <alignment horizontal="right"/>
    </xf>
    <xf numFmtId="0" fontId="46" fillId="43" borderId="47" pivotButton="0" quotePrefix="0" xfId="0"/>
    <xf numFmtId="0" fontId="0" fillId="7" borderId="50" pivotButton="0" quotePrefix="0" xfId="0"/>
    <xf numFmtId="0" fontId="0" fillId="7" borderId="49" pivotButton="0" quotePrefix="0" xfId="0"/>
    <xf numFmtId="0" fontId="46" fillId="7" borderId="14" applyAlignment="1" pivotButton="0" quotePrefix="0" xfId="0">
      <alignment horizontal="right"/>
    </xf>
    <xf numFmtId="0" fontId="46" fillId="7" borderId="14" applyAlignment="1" pivotButton="0" quotePrefix="0" xfId="0">
      <alignment horizontal="left"/>
    </xf>
    <xf numFmtId="0" fontId="46" fillId="7" borderId="9" pivotButton="0" quotePrefix="0" xfId="0"/>
    <xf numFmtId="0" fontId="5" fillId="7" borderId="14" pivotButton="0" quotePrefix="0" xfId="0"/>
    <xf numFmtId="0" fontId="5" fillId="7" borderId="9" pivotButton="0" quotePrefix="0" xfId="0"/>
    <xf numFmtId="0" fontId="46" fillId="15" borderId="14" pivotButton="0" quotePrefix="0" xfId="0"/>
    <xf numFmtId="0" fontId="46" fillId="7" borderId="14" pivotButton="0" quotePrefix="0" xfId="0"/>
    <xf numFmtId="0" fontId="0" fillId="47" borderId="50" pivotButton="0" quotePrefix="0" xfId="0"/>
    <xf numFmtId="0" fontId="10" fillId="26" borderId="9" pivotButton="0" quotePrefix="0" xfId="0"/>
    <xf numFmtId="0" fontId="10" fillId="26" borderId="20" pivotButton="0" quotePrefix="0" xfId="0"/>
    <xf numFmtId="0" fontId="5" fillId="43" borderId="14" pivotButton="0" quotePrefix="0" xfId="0"/>
    <xf numFmtId="0" fontId="5" fillId="43" borderId="20" pivotButton="0" quotePrefix="0" xfId="0"/>
    <xf numFmtId="0" fontId="46" fillId="11" borderId="51" applyAlignment="1" pivotButton="0" quotePrefix="0" xfId="0">
      <alignment horizontal="right"/>
    </xf>
    <xf numFmtId="0" fontId="5" fillId="11" borderId="52" pivotButton="0" quotePrefix="0" xfId="0"/>
    <xf numFmtId="0" fontId="46" fillId="46" borderId="51" applyAlignment="1" pivotButton="0" quotePrefix="0" xfId="0">
      <alignment horizontal="right"/>
    </xf>
    <xf numFmtId="0" fontId="46" fillId="48" borderId="18" pivotButton="0" quotePrefix="0" xfId="0"/>
    <xf numFmtId="0" fontId="47" fillId="9" borderId="4" applyAlignment="1" pivotButton="0" quotePrefix="0" xfId="0">
      <alignment horizontal="right"/>
    </xf>
    <xf numFmtId="0" fontId="47" fillId="9" borderId="46" pivotButton="0" quotePrefix="0" xfId="0"/>
    <xf numFmtId="0" fontId="16" fillId="56" borderId="14" applyAlignment="1" pivotButton="0" quotePrefix="0" xfId="0">
      <alignment horizontal="center"/>
    </xf>
    <xf numFmtId="0" fontId="5" fillId="0" borderId="14" pivotButton="0" quotePrefix="0" xfId="0"/>
    <xf numFmtId="0" fontId="46" fillId="0" borderId="14" pivotButton="0" quotePrefix="0" xfId="0"/>
    <xf numFmtId="0" fontId="0" fillId="0" borderId="50" pivotButton="0" quotePrefix="0" xfId="0"/>
    <xf numFmtId="0" fontId="45" fillId="0" borderId="28" pivotButton="0" quotePrefix="0" xfId="0"/>
    <xf numFmtId="0" fontId="46" fillId="0" borderId="51" applyAlignment="1" pivotButton="0" quotePrefix="0" xfId="0">
      <alignment horizontal="right"/>
    </xf>
    <xf numFmtId="0" fontId="5" fillId="0" borderId="28" pivotButton="0" quotePrefix="0" xfId="0"/>
    <xf numFmtId="0" fontId="5" fillId="4" borderId="14" pivotButton="0" quotePrefix="0" xfId="0"/>
    <xf numFmtId="0" fontId="46" fillId="4" borderId="7" applyAlignment="1" pivotButton="0" quotePrefix="0" xfId="0">
      <alignment horizontal="right"/>
    </xf>
    <xf numFmtId="0" fontId="46" fillId="4" borderId="14" applyAlignment="1" pivotButton="0" quotePrefix="0" xfId="0">
      <alignment horizontal="right"/>
    </xf>
    <xf numFmtId="0" fontId="46" fillId="4" borderId="14" pivotButton="0" quotePrefix="0" xfId="0"/>
    <xf numFmtId="0" fontId="7" fillId="4" borderId="23" pivotButton="0" quotePrefix="0" xfId="0"/>
    <xf numFmtId="0" fontId="0" fillId="4" borderId="23" pivotButton="0" quotePrefix="0" xfId="0"/>
    <xf numFmtId="0" fontId="0" fillId="4" borderId="7" pivotButton="0" quotePrefix="0" xfId="0"/>
    <xf numFmtId="0" fontId="44" fillId="4" borderId="14" pivotButton="0" quotePrefix="0" xfId="0"/>
    <xf numFmtId="0" fontId="5" fillId="4" borderId="9" pivotButton="0" quotePrefix="0" xfId="0"/>
    <xf numFmtId="0" fontId="7" fillId="0" borderId="14" pivotButton="0" quotePrefix="0" xfId="0"/>
    <xf numFmtId="0" fontId="46" fillId="0" borderId="9" pivotButton="0" quotePrefix="0" xfId="0"/>
    <xf numFmtId="0" fontId="16" fillId="0" borderId="14" applyAlignment="1" pivotButton="0" quotePrefix="0" xfId="0">
      <alignment horizontal="center"/>
    </xf>
    <xf numFmtId="0" fontId="0" fillId="4" borderId="9" pivotButton="0" quotePrefix="0" xfId="0"/>
    <xf numFmtId="0" fontId="46" fillId="0" borderId="54" applyAlignment="1" pivotButton="0" quotePrefix="0" xfId="0">
      <alignment horizontal="right"/>
    </xf>
    <xf numFmtId="0" fontId="6" fillId="0" borderId="28" pivotButton="0" quotePrefix="0" xfId="0"/>
    <xf numFmtId="0" fontId="10" fillId="0" borderId="14" pivotButton="0" quotePrefix="0" xfId="0"/>
    <xf numFmtId="0" fontId="0" fillId="57" borderId="14" pivotButton="0" quotePrefix="0" xfId="0"/>
    <xf numFmtId="0" fontId="0" fillId="57" borderId="0" pivotButton="0" quotePrefix="0" xfId="0"/>
    <xf numFmtId="0" fontId="5" fillId="57" borderId="0" pivotButton="0" quotePrefix="0" xfId="0"/>
    <xf numFmtId="0" fontId="46" fillId="4" borderId="7" applyAlignment="1" pivotButton="0" quotePrefix="0" xfId="0">
      <alignment horizontal="left"/>
    </xf>
    <xf numFmtId="0" fontId="0" fillId="14" borderId="34" pivotButton="0" quotePrefix="0" xfId="0"/>
    <xf numFmtId="0" fontId="5" fillId="4" borderId="20" pivotButton="0" quotePrefix="0" xfId="0"/>
    <xf numFmtId="0" fontId="0" fillId="4" borderId="1" pivotButton="0" quotePrefix="0" xfId="0"/>
    <xf numFmtId="0" fontId="48" fillId="4" borderId="7" pivotButton="0" quotePrefix="0" xfId="0"/>
    <xf numFmtId="0" fontId="0" fillId="0" borderId="55" pivotButton="0" quotePrefix="0" xfId="0"/>
    <xf numFmtId="0" fontId="48" fillId="4" borderId="20" pivotButton="0" quotePrefix="0" xfId="0"/>
    <xf numFmtId="0" fontId="0" fillId="11" borderId="55" pivotButton="0" quotePrefix="0" xfId="0"/>
    <xf numFmtId="0" fontId="0" fillId="57" borderId="9" pivotButton="0" quotePrefix="0" xfId="0"/>
    <xf numFmtId="0" fontId="0" fillId="46" borderId="55" pivotButton="0" quotePrefix="0" xfId="0"/>
    <xf numFmtId="0" fontId="5" fillId="4" borderId="14" applyAlignment="1" pivotButton="0" quotePrefix="0" xfId="0">
      <alignment horizontal="center" vertical="center"/>
    </xf>
    <xf numFmtId="0" fontId="46" fillId="11" borderId="54" applyAlignment="1" pivotButton="0" quotePrefix="0" xfId="0">
      <alignment horizontal="right"/>
    </xf>
    <xf numFmtId="0" fontId="5" fillId="11" borderId="28" pivotButton="0" quotePrefix="0" xfId="0"/>
    <xf numFmtId="0" fontId="0" fillId="11" borderId="54" pivotButton="0" quotePrefix="0" xfId="0"/>
    <xf numFmtId="0" fontId="5" fillId="0" borderId="56" pivotButton="0" quotePrefix="0" xfId="0"/>
    <xf numFmtId="0" fontId="36" fillId="11" borderId="54" pivotButton="0" quotePrefix="0" xfId="0"/>
    <xf numFmtId="0" fontId="50" fillId="11" borderId="54" applyAlignment="1" pivotButton="0" quotePrefix="0" xfId="0">
      <alignment horizontal="right"/>
    </xf>
    <xf numFmtId="0" fontId="5" fillId="11" borderId="57" pivotButton="0" quotePrefix="0" xfId="0"/>
    <xf numFmtId="0" fontId="51" fillId="11" borderId="28" pivotButton="0" quotePrefix="0" xfId="0"/>
    <xf numFmtId="0" fontId="50" fillId="4" borderId="14" applyAlignment="1" pivotButton="0" quotePrefix="0" xfId="0">
      <alignment horizontal="right"/>
    </xf>
    <xf numFmtId="0" fontId="28" fillId="4" borderId="20" pivotButton="0" quotePrefix="0" xfId="0"/>
    <xf numFmtId="0" fontId="52" fillId="4" borderId="7" pivotButton="0" quotePrefix="0" xfId="0"/>
    <xf numFmtId="0" fontId="50" fillId="4" borderId="7" applyAlignment="1" pivotButton="0" quotePrefix="0" xfId="0">
      <alignment horizontal="right"/>
    </xf>
    <xf numFmtId="0" fontId="10" fillId="25" borderId="0" pivotButton="0" quotePrefix="0" xfId="0"/>
    <xf numFmtId="0" fontId="0" fillId="15" borderId="4" pivotButton="0" quotePrefix="0" xfId="0"/>
    <xf numFmtId="0" fontId="0" fillId="15" borderId="6" pivotButton="0" quotePrefix="0" xfId="0"/>
    <xf numFmtId="0" fontId="30" fillId="0" borderId="0" pivotButton="0" quotePrefix="0" xfId="0"/>
    <xf numFmtId="0" fontId="54" fillId="0" borderId="14" applyAlignment="1" pivotButton="0" quotePrefix="0" xfId="0">
      <alignment horizontal="center"/>
    </xf>
    <xf numFmtId="0" fontId="30" fillId="0" borderId="14" pivotButton="0" quotePrefix="0" xfId="0"/>
    <xf numFmtId="0" fontId="16" fillId="0" borderId="0" applyAlignment="1" pivotButton="0" quotePrefix="0" xfId="0">
      <alignment horizontal="center"/>
    </xf>
    <xf numFmtId="0" fontId="30" fillId="0" borderId="18" pivotButton="0" quotePrefix="0" xfId="0"/>
    <xf numFmtId="0" fontId="0" fillId="22" borderId="18" pivotButton="0" quotePrefix="0" xfId="0"/>
    <xf numFmtId="0" fontId="0" fillId="0" borderId="4" pivotButton="0" quotePrefix="0" xfId="0"/>
    <xf numFmtId="0" fontId="0" fillId="44" borderId="58" pivotButton="0" quotePrefix="0" xfId="0"/>
    <xf numFmtId="0" fontId="10" fillId="52" borderId="18" pivotButton="0" quotePrefix="0" xfId="0"/>
    <xf numFmtId="0" fontId="5" fillId="11" borderId="0" pivotButton="0" quotePrefix="0" xfId="0"/>
    <xf numFmtId="0" fontId="0" fillId="49" borderId="0" pivotButton="0" quotePrefix="0" xfId="0"/>
    <xf numFmtId="0" fontId="39" fillId="4" borderId="14" pivotButton="0" quotePrefix="0" xfId="0"/>
    <xf numFmtId="0" fontId="41" fillId="22" borderId="14" pivotButton="0" quotePrefix="0" xfId="0"/>
    <xf numFmtId="0" fontId="0" fillId="58" borderId="14" pivotButton="0" quotePrefix="0" xfId="0"/>
    <xf numFmtId="0" fontId="0" fillId="59" borderId="14" pivotButton="0" quotePrefix="0" xfId="0"/>
    <xf numFmtId="0" fontId="0" fillId="60" borderId="18" pivotButton="0" quotePrefix="0" xfId="0"/>
    <xf numFmtId="0" fontId="0" fillId="60" borderId="23" pivotButton="0" quotePrefix="0" xfId="0"/>
    <xf numFmtId="14" fontId="0" fillId="5" borderId="12" applyAlignment="1" pivotButton="0" quotePrefix="0" xfId="0">
      <alignment textRotation="90"/>
    </xf>
    <xf numFmtId="0" fontId="30" fillId="17" borderId="14" pivotButton="0" quotePrefix="0" xfId="0"/>
    <xf numFmtId="0" fontId="53" fillId="9" borderId="18" pivotButton="0" quotePrefix="0" xfId="0"/>
    <xf numFmtId="0" fontId="0" fillId="0" borderId="58" pivotButton="0" quotePrefix="0" xfId="0"/>
    <xf numFmtId="0" fontId="30" fillId="0" borderId="23" pivotButton="0" quotePrefix="0" xfId="0"/>
    <xf numFmtId="0" fontId="53" fillId="0" borderId="6" pivotButton="0" quotePrefix="0" xfId="0"/>
    <xf numFmtId="0" fontId="30" fillId="6" borderId="18" pivotButton="0" quotePrefix="0" xfId="0"/>
    <xf numFmtId="0" fontId="5" fillId="4" borderId="23" pivotButton="0" quotePrefix="0" xfId="0"/>
    <xf numFmtId="0" fontId="28" fillId="4" borderId="7" pivotButton="0" quotePrefix="0" xfId="0"/>
    <xf numFmtId="0" fontId="55" fillId="9" borderId="18" pivotButton="0" quotePrefix="0" xfId="0"/>
    <xf numFmtId="0" fontId="0" fillId="57" borderId="0" applyAlignment="1" pivotButton="0" quotePrefix="0" xfId="0">
      <alignment horizontal="left"/>
    </xf>
    <xf numFmtId="0" fontId="0" fillId="61" borderId="0" pivotButton="0" quotePrefix="0" xfId="0"/>
    <xf numFmtId="0" fontId="0" fillId="17" borderId="23" pivotButton="0" quotePrefix="0" xfId="0"/>
    <xf numFmtId="0" fontId="0" fillId="5" borderId="23" pivotButton="0" quotePrefix="0" xfId="0"/>
    <xf numFmtId="0" fontId="9" fillId="0" borderId="0" pivotButton="0" quotePrefix="0" xfId="0"/>
    <xf numFmtId="0" fontId="30" fillId="0" borderId="58" pivotButton="0" quotePrefix="0" xfId="0"/>
    <xf numFmtId="0" fontId="56" fillId="0" borderId="0" pivotButton="0" quotePrefix="0" xfId="0"/>
    <xf numFmtId="0" fontId="6" fillId="0" borderId="0" pivotButton="0" quotePrefix="0" xfId="0"/>
    <xf numFmtId="0" fontId="0" fillId="14" borderId="48" pivotButton="0" quotePrefix="0" xfId="0"/>
    <xf numFmtId="0" fontId="0" fillId="14" borderId="59" pivotButton="0" quotePrefix="0" xfId="0"/>
    <xf numFmtId="0" fontId="0" fillId="14" borderId="30" pivotButton="0" quotePrefix="0" xfId="0"/>
    <xf numFmtId="0" fontId="7" fillId="4" borderId="1" pivotButton="0" quotePrefix="0" xfId="0"/>
    <xf numFmtId="0" fontId="10" fillId="4" borderId="14" pivotButton="0" quotePrefix="0" xfId="0"/>
    <xf numFmtId="0" fontId="57" fillId="4" borderId="14" pivotButton="0" quotePrefix="0" xfId="0"/>
    <xf numFmtId="0" fontId="30" fillId="14" borderId="18" pivotButton="0" quotePrefix="0" xfId="0"/>
    <xf numFmtId="0" fontId="30" fillId="0" borderId="19" pivotButton="0" quotePrefix="0" xfId="0"/>
    <xf numFmtId="0" fontId="0" fillId="0" borderId="19" pivotButton="0" quotePrefix="0" xfId="0"/>
    <xf numFmtId="0" fontId="30" fillId="0" borderId="16" pivotButton="0" quotePrefix="0" xfId="0"/>
    <xf numFmtId="0" fontId="9" fillId="14" borderId="18" applyAlignment="1" pivotButton="0" quotePrefix="0" xfId="0">
      <alignment horizontal="center" vertical="center"/>
    </xf>
    <xf numFmtId="0" fontId="39" fillId="5" borderId="0" pivotButton="0" quotePrefix="0" xfId="0"/>
    <xf numFmtId="0" fontId="39" fillId="0" borderId="0" pivotButton="0" quotePrefix="0" xfId="0"/>
    <xf numFmtId="0" fontId="59" fillId="17" borderId="14" pivotButton="0" quotePrefix="0" xfId="0"/>
    <xf numFmtId="0" fontId="6" fillId="11" borderId="28" pivotButton="0" quotePrefix="0" xfId="0"/>
    <xf numFmtId="0" fontId="60" fillId="0" borderId="0" pivotButton="0" quotePrefix="0" xfId="0"/>
    <xf numFmtId="0" fontId="60" fillId="0" borderId="0" applyAlignment="1" pivotButton="0" quotePrefix="0" xfId="0">
      <alignment wrapText="1"/>
    </xf>
    <xf numFmtId="0" fontId="61" fillId="0" borderId="3" pivotButton="0" quotePrefix="0" xfId="0"/>
    <xf numFmtId="0" fontId="30" fillId="0" borderId="0" applyAlignment="1" pivotButton="0" quotePrefix="0" xfId="0">
      <alignment horizontal="right"/>
    </xf>
    <xf numFmtId="14" fontId="0" fillId="64" borderId="12" applyAlignment="1" pivotButton="0" quotePrefix="0" xfId="0">
      <alignment textRotation="90"/>
    </xf>
    <xf numFmtId="0" fontId="42" fillId="26" borderId="0" pivotButton="0" quotePrefix="0" xfId="0"/>
    <xf numFmtId="0" fontId="58" fillId="2" borderId="14" pivotButton="0" quotePrefix="0" xfId="0"/>
    <xf numFmtId="0" fontId="39" fillId="0" borderId="9" pivotButton="0" quotePrefix="0" xfId="0"/>
    <xf numFmtId="0" fontId="30" fillId="0" borderId="0" applyAlignment="1" pivotButton="0" quotePrefix="0" xfId="0">
      <alignment horizontal="left"/>
    </xf>
    <xf numFmtId="0" fontId="9" fillId="4" borderId="14" pivotButton="0" quotePrefix="0" xfId="0"/>
    <xf numFmtId="0" fontId="50" fillId="4" borderId="7" applyAlignment="1" pivotButton="0" quotePrefix="0" xfId="0">
      <alignment horizontal="left"/>
    </xf>
    <xf numFmtId="0" fontId="8" fillId="0" borderId="60" applyAlignment="1" pivotButton="0" quotePrefix="0" xfId="0">
      <alignment vertical="center"/>
    </xf>
    <xf numFmtId="14" fontId="8" fillId="0" borderId="23" applyAlignment="1" pivotButton="0" quotePrefix="0" xfId="0">
      <alignment vertical="center"/>
    </xf>
    <xf numFmtId="0" fontId="0" fillId="22" borderId="58" pivotButton="0" quotePrefix="0" xfId="0"/>
    <xf numFmtId="0" fontId="46" fillId="11" borderId="1" applyAlignment="1" pivotButton="0" quotePrefix="0" xfId="0">
      <alignment horizontal="right"/>
    </xf>
    <xf numFmtId="0" fontId="30" fillId="0" borderId="14" applyAlignment="1" pivotButton="0" quotePrefix="0" xfId="0">
      <alignment horizontal="right"/>
    </xf>
    <xf numFmtId="0" fontId="0" fillId="44" borderId="28" pivotButton="0" quotePrefix="0" xfId="0"/>
    <xf numFmtId="0" fontId="62" fillId="0" borderId="0" applyAlignment="1" pivotButton="0" quotePrefix="0" xfId="0">
      <alignment horizontal="center"/>
    </xf>
    <xf numFmtId="0" fontId="0" fillId="65" borderId="0" pivotButton="0" quotePrefix="0" xfId="0"/>
    <xf numFmtId="0" fontId="5" fillId="16" borderId="0" pivotButton="0" quotePrefix="0" xfId="0"/>
    <xf numFmtId="0" fontId="0" fillId="2" borderId="16" pivotButton="0" quotePrefix="0" xfId="0"/>
    <xf numFmtId="0" fontId="0" fillId="65" borderId="14" pivotButton="0" quotePrefix="0" xfId="0"/>
    <xf numFmtId="0" fontId="0" fillId="65" borderId="7" pivotButton="0" quotePrefix="0" xfId="0"/>
    <xf numFmtId="0" fontId="30" fillId="9" borderId="0" pivotButton="0" quotePrefix="0" xfId="0"/>
    <xf numFmtId="0" fontId="5" fillId="65" borderId="14" pivotButton="0" quotePrefix="0" xfId="0"/>
    <xf numFmtId="0" fontId="8" fillId="0" borderId="34" applyAlignment="1" pivotButton="0" quotePrefix="0" xfId="0">
      <alignment vertical="center"/>
    </xf>
    <xf numFmtId="0" fontId="63" fillId="65" borderId="14" pivotButton="0" quotePrefix="0" xfId="0"/>
    <xf numFmtId="0" fontId="63" fillId="48" borderId="14" pivotButton="0" quotePrefix="0" xfId="0"/>
    <xf numFmtId="0" fontId="5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0" fillId="67" borderId="0" pivotButton="0" quotePrefix="0" xfId="0"/>
    <xf numFmtId="0" fontId="0" fillId="44" borderId="14" pivotButton="0" quotePrefix="0" xfId="0"/>
    <xf numFmtId="0" fontId="0" fillId="65" borderId="18" pivotButton="0" quotePrefix="0" xfId="0"/>
    <xf numFmtId="0" fontId="6" fillId="2" borderId="0" pivotButton="0" quotePrefix="0" xfId="0"/>
    <xf numFmtId="0" fontId="0" fillId="5" borderId="7" pivotButton="0" quotePrefix="0" xfId="0"/>
    <xf numFmtId="0" fontId="0" fillId="5" borderId="1" pivotButton="0" quotePrefix="0" xfId="0"/>
    <xf numFmtId="0" fontId="0" fillId="5" borderId="64" pivotButton="0" quotePrefix="0" xfId="0"/>
    <xf numFmtId="0" fontId="0" fillId="5" borderId="65" pivotButton="0" quotePrefix="0" xfId="0"/>
    <xf numFmtId="0" fontId="14" fillId="5" borderId="63" pivotButton="0" quotePrefix="0" xfId="0"/>
    <xf numFmtId="0" fontId="14" fillId="5" borderId="64" pivotButton="0" quotePrefix="0" xfId="0"/>
    <xf numFmtId="0" fontId="14" fillId="5" borderId="65" pivotButton="0" quotePrefix="0" xfId="0"/>
    <xf numFmtId="0" fontId="14" fillId="2" borderId="0" applyAlignment="1" pivotButton="0" quotePrefix="0" xfId="0">
      <alignment horizontal="center"/>
    </xf>
    <xf numFmtId="0" fontId="0" fillId="5" borderId="31" pivotButton="0" quotePrefix="0" xfId="0"/>
    <xf numFmtId="0" fontId="40" fillId="49" borderId="14" pivotButton="0" quotePrefix="0" xfId="0"/>
    <xf numFmtId="0" fontId="5" fillId="5" borderId="14" pivotButton="0" quotePrefix="0" xfId="0"/>
    <xf numFmtId="0" fontId="40" fillId="49" borderId="62" pivotButton="0" quotePrefix="0" xfId="0"/>
    <xf numFmtId="0" fontId="40" fillId="49" borderId="29" pivotButton="0" quotePrefix="0" xfId="0"/>
    <xf numFmtId="0" fontId="53" fillId="4" borderId="1" pivotButton="0" quotePrefix="0" xfId="0"/>
    <xf numFmtId="0" fontId="64" fillId="4" borderId="1" pivotButton="0" quotePrefix="0" xfId="0"/>
    <xf numFmtId="0" fontId="46" fillId="5" borderId="14" applyAlignment="1" pivotButton="0" quotePrefix="0" xfId="0">
      <alignment horizontal="center" vertical="center"/>
    </xf>
    <xf numFmtId="0" fontId="0" fillId="2" borderId="50" pivotButton="0" quotePrefix="0" xfId="0"/>
    <xf numFmtId="0" fontId="42" fillId="5" borderId="14" pivotButton="0" quotePrefix="0" xfId="0"/>
    <xf numFmtId="0" fontId="0" fillId="63" borderId="14" pivotButton="0" quotePrefix="0" xfId="0"/>
    <xf numFmtId="0" fontId="0" fillId="63" borderId="0" pivotButton="0" quotePrefix="0" xfId="0"/>
    <xf numFmtId="0" fontId="10" fillId="63" borderId="0" pivotButton="0" quotePrefix="0" xfId="0"/>
    <xf numFmtId="0" fontId="65" fillId="66" borderId="14" pivotButton="0" quotePrefix="0" xfId="0"/>
    <xf numFmtId="0" fontId="66" fillId="10" borderId="0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 textRotation="45"/>
    </xf>
    <xf numFmtId="0" fontId="8" fillId="0" borderId="12" applyAlignment="1" pivotButton="0" quotePrefix="0" xfId="0">
      <alignment textRotation="90"/>
    </xf>
    <xf numFmtId="14" fontId="8" fillId="0" borderId="12" applyAlignment="1" pivotButton="0" quotePrefix="0" xfId="0">
      <alignment textRotation="90"/>
    </xf>
    <xf numFmtId="0" fontId="8" fillId="10" borderId="0" pivotButton="0" quotePrefix="0" xfId="0"/>
    <xf numFmtId="0" fontId="8" fillId="0" borderId="0" pivotButton="0" quotePrefix="0" xfId="0"/>
    <xf numFmtId="0" fontId="42" fillId="66" borderId="14" pivotButton="0" quotePrefix="0" xfId="0"/>
    <xf numFmtId="0" fontId="42" fillId="66" borderId="7" pivotButton="0" quotePrefix="0" xfId="0"/>
    <xf numFmtId="0" fontId="68" fillId="57" borderId="10" applyAlignment="1" pivotButton="0" quotePrefix="0" xfId="0">
      <alignment horizontal="center"/>
    </xf>
    <xf numFmtId="0" fontId="68" fillId="57" borderId="9" applyAlignment="1" pivotButton="0" quotePrefix="0" xfId="0">
      <alignment horizontal="center"/>
    </xf>
    <xf numFmtId="0" fontId="0" fillId="68" borderId="0" pivotButton="0" quotePrefix="0" xfId="0"/>
    <xf numFmtId="0" fontId="5" fillId="0" borderId="16" pivotButton="0" quotePrefix="0" xfId="0"/>
    <xf numFmtId="0" fontId="0" fillId="21" borderId="64" pivotButton="0" quotePrefix="0" xfId="0"/>
    <xf numFmtId="0" fontId="0" fillId="21" borderId="65" pivotButton="0" quotePrefix="0" xfId="0"/>
    <xf numFmtId="0" fontId="8" fillId="14" borderId="0" pivotButton="0" quotePrefix="0" xfId="0"/>
    <xf numFmtId="0" fontId="0" fillId="43" borderId="16" pivotButton="0" quotePrefix="0" xfId="0"/>
    <xf numFmtId="0" fontId="4" fillId="32" borderId="16" pivotButton="0" quotePrefix="0" xfId="0"/>
    <xf numFmtId="0" fontId="4" fillId="33" borderId="0" pivotButton="0" quotePrefix="0" xfId="0"/>
    <xf numFmtId="0" fontId="4" fillId="4" borderId="14" pivotButton="0" quotePrefix="0" xfId="0"/>
    <xf numFmtId="0" fontId="4" fillId="32" borderId="28" pivotButton="0" quotePrefix="0" xfId="0"/>
    <xf numFmtId="0" fontId="4" fillId="32" borderId="18" pivotButton="0" quotePrefix="0" xfId="0"/>
    <xf numFmtId="0" fontId="4" fillId="0" borderId="0" pivotButton="0" quotePrefix="0" xfId="0"/>
    <xf numFmtId="0" fontId="4" fillId="8" borderId="0" pivotButton="0" quotePrefix="0" xfId="0"/>
    <xf numFmtId="0" fontId="4" fillId="5" borderId="0" pivotButton="0" quotePrefix="0" xfId="0"/>
    <xf numFmtId="0" fontId="4" fillId="10" borderId="0" pivotButton="0" quotePrefix="0" xfId="0"/>
    <xf numFmtId="0" fontId="4" fillId="7" borderId="0" pivotButton="0" quotePrefix="0" xfId="0"/>
    <xf numFmtId="0" fontId="4" fillId="4" borderId="0" pivotButton="0" quotePrefix="0" xfId="0"/>
    <xf numFmtId="0" fontId="4" fillId="5" borderId="14" pivotButton="0" quotePrefix="0" xfId="0"/>
    <xf numFmtId="0" fontId="4" fillId="21" borderId="0" pivotButton="0" quotePrefix="0" xfId="0"/>
    <xf numFmtId="0" fontId="4" fillId="8" borderId="14" applyAlignment="1" pivotButton="0" quotePrefix="0" xfId="0">
      <alignment vertical="center"/>
    </xf>
    <xf numFmtId="0" fontId="4" fillId="0" borderId="14" pivotButton="0" quotePrefix="0" xfId="0"/>
    <xf numFmtId="0" fontId="4" fillId="14" borderId="0" pivotButton="0" quotePrefix="0" xfId="0"/>
    <xf numFmtId="0" fontId="4" fillId="4" borderId="19" pivotButton="0" quotePrefix="0" xfId="0"/>
    <xf numFmtId="0" fontId="4" fillId="4" borderId="18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13" borderId="14" pivotButton="0" quotePrefix="0" xfId="0"/>
    <xf numFmtId="0" fontId="4" fillId="17" borderId="0" pivotButton="0" quotePrefix="0" xfId="0"/>
    <xf numFmtId="0" fontId="4" fillId="8" borderId="16" pivotButton="0" quotePrefix="0" xfId="0"/>
    <xf numFmtId="0" fontId="4" fillId="4" borderId="18" pivotButton="0" quotePrefix="0" xfId="0"/>
    <xf numFmtId="0" fontId="4" fillId="8" borderId="14" pivotButton="0" quotePrefix="0" xfId="0"/>
    <xf numFmtId="0" fontId="4" fillId="28" borderId="0" applyAlignment="1" pivotButton="0" quotePrefix="0" xfId="0">
      <alignment horizontal="center"/>
    </xf>
    <xf numFmtId="0" fontId="4" fillId="9" borderId="0" pivotButton="0" quotePrefix="0" xfId="0"/>
    <xf numFmtId="0" fontId="4" fillId="26" borderId="0" pivotButton="0" quotePrefix="0" xfId="0"/>
    <xf numFmtId="0" fontId="4" fillId="44" borderId="0" applyAlignment="1" pivotButton="0" quotePrefix="0" xfId="0">
      <alignment horizontal="center"/>
    </xf>
    <xf numFmtId="0" fontId="4" fillId="0" borderId="18" pivotButton="0" quotePrefix="0" xfId="0"/>
    <xf numFmtId="0" fontId="4" fillId="17" borderId="14" pivotButton="0" quotePrefix="0" xfId="0"/>
    <xf numFmtId="0" fontId="4" fillId="49" borderId="20" pivotButton="0" quotePrefix="0" xfId="0"/>
    <xf numFmtId="0" fontId="4" fillId="14" borderId="18" pivotButton="0" quotePrefix="0" xfId="0"/>
    <xf numFmtId="0" fontId="4" fillId="57" borderId="0" applyAlignment="1" pivotButton="0" quotePrefix="0" xfId="0">
      <alignment horizontal="left"/>
    </xf>
    <xf numFmtId="0" fontId="4" fillId="59" borderId="14" pivotButton="0" quotePrefix="0" xfId="0"/>
    <xf numFmtId="0" fontId="4" fillId="22" borderId="0" pivotButton="0" quotePrefix="0" xfId="0"/>
    <xf numFmtId="0" fontId="4" fillId="59" borderId="0" pivotButton="0" quotePrefix="0" xfId="0"/>
    <xf numFmtId="0" fontId="4" fillId="0" borderId="0" applyAlignment="1" pivotButton="0" quotePrefix="0" xfId="0">
      <alignment horizontal="left"/>
    </xf>
    <xf numFmtId="0" fontId="4" fillId="4" borderId="50" pivotButton="0" quotePrefix="0" xfId="0"/>
    <xf numFmtId="0" fontId="4" fillId="15" borderId="14" pivotButton="0" quotePrefix="0" xfId="0"/>
    <xf numFmtId="0" fontId="4" fillId="11" borderId="28" pivotButton="0" quotePrefix="0" xfId="0"/>
    <xf numFmtId="0" fontId="4" fillId="5" borderId="23" pivotButton="0" quotePrefix="0" xfId="0"/>
    <xf numFmtId="0" fontId="4" fillId="63" borderId="14" pivotButton="0" quotePrefix="0" xfId="0"/>
    <xf numFmtId="0" fontId="4" fillId="9" borderId="14" pivotButton="0" quotePrefix="0" xfId="0"/>
    <xf numFmtId="0" fontId="4" fillId="11" borderId="55" pivotButton="0" quotePrefix="0" xfId="0"/>
    <xf numFmtId="0" fontId="4" fillId="11" borderId="0" pivotButton="0" quotePrefix="0" xfId="0"/>
    <xf numFmtId="0" fontId="4" fillId="17" borderId="0" applyAlignment="1" pivotButton="0" quotePrefix="0" xfId="0">
      <alignment horizontal="left"/>
    </xf>
    <xf numFmtId="0" fontId="4" fillId="57" borderId="9" pivotButton="0" quotePrefix="0" xfId="0"/>
    <xf numFmtId="0" fontId="4" fillId="57" borderId="14" pivotButton="0" quotePrefix="0" xfId="0"/>
    <xf numFmtId="0" fontId="4" fillId="62" borderId="0" pivotButton="0" quotePrefix="0" xfId="0"/>
    <xf numFmtId="0" fontId="4" fillId="5" borderId="18" pivotButton="0" quotePrefix="0" xfId="0"/>
    <xf numFmtId="0" fontId="4" fillId="22" borderId="14" pivotButton="0" quotePrefix="0" xfId="0"/>
    <xf numFmtId="0" fontId="4" fillId="66" borderId="14" pivotButton="0" quotePrefix="0" xfId="0"/>
    <xf numFmtId="0" fontId="4" fillId="5" borderId="63" pivotButton="0" quotePrefix="0" xfId="0"/>
    <xf numFmtId="0" fontId="4" fillId="5" borderId="9" pivotButton="0" quotePrefix="0" xfId="0"/>
    <xf numFmtId="0" fontId="4" fillId="5" borderId="65" pivotButton="0" quotePrefix="0" xfId="0"/>
    <xf numFmtId="0" fontId="4" fillId="62" borderId="65" applyAlignment="1" pivotButton="0" quotePrefix="0" xfId="0">
      <alignment horizontal="center"/>
    </xf>
    <xf numFmtId="0" fontId="4" fillId="2" borderId="0" pivotButton="0" quotePrefix="0" xfId="0"/>
    <xf numFmtId="0" fontId="4" fillId="5" borderId="20" pivotButton="0" quotePrefix="0" xfId="0"/>
    <xf numFmtId="0" fontId="4" fillId="2" borderId="16" pivotButton="0" quotePrefix="0" xfId="0"/>
    <xf numFmtId="0" fontId="4" fillId="8" borderId="18" pivotButton="0" quotePrefix="0" xfId="0"/>
    <xf numFmtId="0" fontId="4" fillId="63" borderId="18" pivotButton="0" quotePrefix="0" xfId="0"/>
    <xf numFmtId="0" fontId="4" fillId="2" borderId="14" pivotButton="0" quotePrefix="0" xfId="0"/>
    <xf numFmtId="0" fontId="4" fillId="5" borderId="50" pivotButton="0" quotePrefix="0" xfId="0"/>
    <xf numFmtId="0" fontId="4" fillId="5" borderId="7" pivotButton="0" quotePrefix="0" xfId="0"/>
    <xf numFmtId="0" fontId="4" fillId="69" borderId="20" pivotButton="0" quotePrefix="0" xfId="0"/>
    <xf numFmtId="0" fontId="4" fillId="69" borderId="14" pivotButton="0" quotePrefix="0" xfId="0"/>
    <xf numFmtId="0" fontId="4" fillId="69" borderId="7" pivotButton="0" quotePrefix="0" xfId="0"/>
    <xf numFmtId="0" fontId="4" fillId="15" borderId="16" pivotButton="0" quotePrefix="0" xfId="0"/>
    <xf numFmtId="0" fontId="4" fillId="43" borderId="16" pivotButton="0" quotePrefix="0" xfId="0"/>
    <xf numFmtId="0" fontId="4" fillId="68" borderId="16" pivotButton="0" quotePrefix="0" xfId="0"/>
    <xf numFmtId="0" fontId="4" fillId="43" borderId="0" pivotButton="0" quotePrefix="0" xfId="0"/>
    <xf numFmtId="0" fontId="4" fillId="0" borderId="16" pivotButton="0" quotePrefix="0" xfId="0"/>
    <xf numFmtId="0" fontId="4" fillId="15" borderId="18" pivotButton="0" quotePrefix="0" xfId="0"/>
    <xf numFmtId="0" fontId="4" fillId="65" borderId="18" pivotButton="0" quotePrefix="0" xfId="0"/>
    <xf numFmtId="0" fontId="4" fillId="67" borderId="18" pivotButton="0" quotePrefix="0" xfId="0"/>
    <xf numFmtId="0" fontId="4" fillId="7" borderId="14" pivotButton="0" quotePrefix="0" xfId="0"/>
    <xf numFmtId="0" fontId="4" fillId="16" borderId="14" pivotButton="0" quotePrefix="0" xfId="0"/>
    <xf numFmtId="0" fontId="4" fillId="16" borderId="23" pivotButton="0" quotePrefix="0" xfId="0"/>
    <xf numFmtId="0" fontId="4" fillId="49" borderId="14" pivotButton="0" quotePrefix="0" xfId="0"/>
    <xf numFmtId="0" fontId="4" fillId="2" borderId="20" pivotButton="0" quotePrefix="0" xfId="0"/>
    <xf numFmtId="0" fontId="4" fillId="16" borderId="16" pivotButton="0" quotePrefix="0" xfId="0"/>
    <xf numFmtId="0" fontId="4" fillId="4" borderId="16" pivotButton="0" quotePrefix="0" xfId="0"/>
    <xf numFmtId="0" fontId="4" fillId="17" borderId="16" pivotButton="0" quotePrefix="0" xfId="0"/>
    <xf numFmtId="0" fontId="4" fillId="16" borderId="18" pivotButton="0" quotePrefix="0" xfId="0"/>
    <xf numFmtId="0" fontId="4" fillId="65" borderId="0" pivotButton="0" quotePrefix="0" xfId="0"/>
    <xf numFmtId="0" fontId="4" fillId="2" borderId="0" applyAlignment="1" pivotButton="0" quotePrefix="0" xfId="0">
      <alignment wrapText="1"/>
    </xf>
    <xf numFmtId="0" fontId="4" fillId="23" borderId="14" pivotButton="0" quotePrefix="0" xfId="0"/>
    <xf numFmtId="0" fontId="4" fillId="0" borderId="23" pivotButton="0" quotePrefix="0" xfId="0"/>
    <xf numFmtId="0" fontId="4" fillId="21" borderId="16" pivotButton="0" quotePrefix="0" xfId="0"/>
    <xf numFmtId="0" fontId="4" fillId="23" borderId="16" pivotButton="0" quotePrefix="0" xfId="0"/>
    <xf numFmtId="0" fontId="4" fillId="21" borderId="63" pivotButton="0" quotePrefix="0" xfId="0"/>
    <xf numFmtId="0" fontId="4" fillId="23" borderId="18" pivotButton="0" quotePrefix="0" xfId="0"/>
    <xf numFmtId="0" fontId="4" fillId="44" borderId="14" pivotButton="0" quotePrefix="0" xfId="0"/>
    <xf numFmtId="0" fontId="4" fillId="44" borderId="0" pivotButton="0" quotePrefix="0" xfId="0"/>
    <xf numFmtId="0" fontId="30" fillId="16" borderId="14" pivotButton="0" quotePrefix="0" xfId="0"/>
    <xf numFmtId="0" fontId="30" fillId="16" borderId="16" pivotButton="0" quotePrefix="0" xfId="0"/>
    <xf numFmtId="0" fontId="30" fillId="16" borderId="18" pivotButton="0" quotePrefix="0" xfId="0"/>
    <xf numFmtId="0" fontId="4" fillId="6" borderId="18" pivotButton="0" quotePrefix="0" xfId="0"/>
    <xf numFmtId="0" fontId="4" fillId="4" borderId="23" pivotButton="0" quotePrefix="0" xfId="0"/>
    <xf numFmtId="0" fontId="4" fillId="9" borderId="36" pivotButton="0" quotePrefix="0" xfId="0"/>
    <xf numFmtId="164" fontId="4" fillId="9" borderId="0" pivotButton="0" quotePrefix="0" xfId="3"/>
    <xf numFmtId="0" fontId="4" fillId="44" borderId="18" pivotButton="0" quotePrefix="0" xfId="0"/>
    <xf numFmtId="0" fontId="4" fillId="44" borderId="3" pivotButton="0" quotePrefix="0" xfId="0"/>
    <xf numFmtId="0" fontId="4" fillId="51" borderId="0" pivotButton="0" quotePrefix="0" xfId="0"/>
    <xf numFmtId="0" fontId="4" fillId="51" borderId="14" pivotButton="0" quotePrefix="0" xfId="0"/>
    <xf numFmtId="0" fontId="4" fillId="53" borderId="14" pivotButton="0" quotePrefix="0" xfId="0"/>
    <xf numFmtId="0" fontId="4" fillId="5" borderId="53" pivotButton="0" quotePrefix="0" xfId="0"/>
    <xf numFmtId="0" fontId="4" fillId="18" borderId="0" pivotButton="0" quotePrefix="0" xfId="0"/>
    <xf numFmtId="0" fontId="4" fillId="7" borderId="50" pivotButton="0" quotePrefix="0" xfId="0"/>
    <xf numFmtId="0" fontId="4" fillId="7" borderId="49" pivotButton="0" quotePrefix="0" xfId="0"/>
    <xf numFmtId="0" fontId="4" fillId="34" borderId="0" pivotButton="0" quotePrefix="0" xfId="0"/>
    <xf numFmtId="0" fontId="5" fillId="2" borderId="0" pivotButton="0" quotePrefix="0" xfId="0"/>
    <xf numFmtId="0" fontId="4" fillId="2" borderId="14" pivotButton="0" quotePrefix="1" xfId="0"/>
    <xf numFmtId="0" fontId="10" fillId="2" borderId="14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5" borderId="0" applyAlignment="1" pivotButton="0" quotePrefix="0" xfId="0">
      <alignment horizontal="left"/>
    </xf>
    <xf numFmtId="49" fontId="36" fillId="9" borderId="10" applyAlignment="1" pivotButton="0" quotePrefix="0" xfId="0">
      <alignment horizontal="center" vertical="center"/>
    </xf>
    <xf numFmtId="49" fontId="36" fillId="9" borderId="8" applyAlignment="1" pivotButton="0" quotePrefix="0" xfId="0">
      <alignment horizontal="center" vertical="center"/>
    </xf>
    <xf numFmtId="49" fontId="36" fillId="9" borderId="9" applyAlignment="1" pivotButton="0" quotePrefix="0" xfId="0">
      <alignment horizontal="center" vertical="center"/>
    </xf>
    <xf numFmtId="0" fontId="4" fillId="62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49" fontId="67" fillId="5" borderId="10" applyAlignment="1" pivotButton="0" quotePrefix="0" xfId="0">
      <alignment horizontal="center" vertical="center"/>
    </xf>
    <xf numFmtId="49" fontId="67" fillId="5" borderId="8" applyAlignment="1" pivotButton="0" quotePrefix="0" xfId="0">
      <alignment horizontal="center" vertical="center"/>
    </xf>
    <xf numFmtId="49" fontId="67" fillId="5" borderId="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wrapText="1"/>
    </xf>
    <xf numFmtId="49" fontId="6" fillId="61" borderId="10" applyAlignment="1" pivotButton="0" quotePrefix="0" xfId="0">
      <alignment horizontal="center" vertical="center"/>
    </xf>
    <xf numFmtId="49" fontId="6" fillId="61" borderId="8" applyAlignment="1" pivotButton="0" quotePrefix="0" xfId="0">
      <alignment horizontal="center" vertical="center"/>
    </xf>
    <xf numFmtId="49" fontId="6" fillId="61" borderId="9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63" applyAlignment="1" pivotButton="0" quotePrefix="0" xfId="0">
      <alignment horizontal="center"/>
    </xf>
    <xf numFmtId="0" fontId="4" fillId="5" borderId="64" applyAlignment="1" pivotButton="0" quotePrefix="0" xfId="0">
      <alignment horizontal="center"/>
    </xf>
    <xf numFmtId="0" fontId="4" fillId="5" borderId="65" applyAlignment="1" pivotButton="0" quotePrefix="0" xfId="0">
      <alignment horizontal="center"/>
    </xf>
    <xf numFmtId="0" fontId="25" fillId="4" borderId="64" applyAlignment="1" pivotButton="0" quotePrefix="0" xfId="0">
      <alignment horizontal="center"/>
    </xf>
    <xf numFmtId="0" fontId="59" fillId="44" borderId="63" applyAlignment="1" pivotButton="0" quotePrefix="0" xfId="0">
      <alignment horizontal="center"/>
    </xf>
    <xf numFmtId="0" fontId="59" fillId="44" borderId="65" applyAlignment="1" pivotButton="0" quotePrefix="0" xfId="0">
      <alignment horizontal="center"/>
    </xf>
    <xf numFmtId="0" fontId="4" fillId="65" borderId="0" applyAlignment="1" pivotButton="0" quotePrefix="0" xfId="0">
      <alignment horizontal="center"/>
    </xf>
    <xf numFmtId="0" fontId="6" fillId="10" borderId="10" applyAlignment="1" pivotButton="0" quotePrefix="0" xfId="0">
      <alignment horizontal="center" vertical="center"/>
    </xf>
    <xf numFmtId="0" fontId="6" fillId="10" borderId="8" applyAlignment="1" pivotButton="0" quotePrefix="0" xfId="0">
      <alignment horizontal="center" vertical="center"/>
    </xf>
    <xf numFmtId="0" fontId="6" fillId="1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4" fillId="63" borderId="7" applyAlignment="1" pivotButton="0" quotePrefix="0" xfId="0">
      <alignment horizontal="center"/>
    </xf>
    <xf numFmtId="0" fontId="4" fillId="63" borderId="9" applyAlignment="1" pivotButton="0" quotePrefix="0" xfId="0">
      <alignment horizontal="center"/>
    </xf>
    <xf numFmtId="0" fontId="6" fillId="10" borderId="2" applyAlignment="1" pivotButton="0" quotePrefix="0" xfId="0">
      <alignment horizontal="center" vertical="center"/>
    </xf>
    <xf numFmtId="0" fontId="4" fillId="17" borderId="0" applyAlignment="1" pivotButton="0" quotePrefix="0" xfId="0">
      <alignment horizontal="left"/>
    </xf>
    <xf numFmtId="0" fontId="0" fillId="17" borderId="0" applyAlignment="1" pivotButton="0" quotePrefix="0" xfId="0">
      <alignment horizontal="left"/>
    </xf>
    <xf numFmtId="0" fontId="4" fillId="11" borderId="0" applyAlignment="1" pivotButton="0" quotePrefix="0" xfId="0">
      <alignment horizontal="left"/>
    </xf>
    <xf numFmtId="0" fontId="4" fillId="14" borderId="0" applyAlignment="1" pivotButton="0" quotePrefix="0" xfId="0">
      <alignment horizontal="center"/>
    </xf>
    <xf numFmtId="0" fontId="4" fillId="14" borderId="0" applyAlignment="1" pivotButton="0" quotePrefix="0" xfId="0">
      <alignment horizontal="left"/>
    </xf>
    <xf numFmtId="0" fontId="36" fillId="0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3" fillId="0" borderId="0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42" applyAlignment="1" pivotButton="0" quotePrefix="0" xfId="0">
      <alignment horizontal="center" vertical="center"/>
    </xf>
    <xf numFmtId="0" fontId="14" fillId="66" borderId="63" applyAlignment="1" pivotButton="0" quotePrefix="0" xfId="0">
      <alignment horizontal="center"/>
    </xf>
    <xf numFmtId="0" fontId="14" fillId="66" borderId="65" applyAlignment="1" pivotButton="0" quotePrefix="0" xfId="0">
      <alignment horizontal="center"/>
    </xf>
    <xf numFmtId="0" fontId="14" fillId="26" borderId="63" applyAlignment="1" pivotButton="0" quotePrefix="0" xfId="0">
      <alignment horizontal="center"/>
    </xf>
    <xf numFmtId="0" fontId="14" fillId="26" borderId="64" applyAlignment="1" pivotButton="0" quotePrefix="0" xfId="0">
      <alignment horizontal="center"/>
    </xf>
    <xf numFmtId="0" fontId="14" fillId="26" borderId="65" applyAlignment="1" pivotButton="0" quotePrefix="0" xfId="0">
      <alignment horizontal="center"/>
    </xf>
    <xf numFmtId="0" fontId="6" fillId="10" borderId="61" applyAlignment="1" pivotButton="0" quotePrefix="0" xfId="0">
      <alignment horizontal="center" vertical="center"/>
    </xf>
    <xf numFmtId="0" fontId="6" fillId="10" borderId="42" applyAlignment="1" pivotButton="0" quotePrefix="0" xfId="0">
      <alignment horizontal="center" vertical="center"/>
    </xf>
    <xf numFmtId="0" fontId="6" fillId="10" borderId="6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left"/>
    </xf>
    <xf numFmtId="0" fontId="0" fillId="17" borderId="0" applyAlignment="1" pivotButton="0" quotePrefix="0" xfId="0">
      <alignment horizontal="center"/>
    </xf>
    <xf numFmtId="0" fontId="10" fillId="3" borderId="24" applyAlignment="1" pivotButton="0" quotePrefix="0" xfId="0">
      <alignment horizontal="center"/>
    </xf>
    <xf numFmtId="0" fontId="10" fillId="3" borderId="25" applyAlignment="1" pivotButton="0" quotePrefix="0" xfId="0">
      <alignment horizontal="center"/>
    </xf>
    <xf numFmtId="0" fontId="10" fillId="3" borderId="26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19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24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21" borderId="0" applyAlignment="1" pivotButton="0" quotePrefix="0" xfId="0">
      <alignment horizontal="center"/>
    </xf>
    <xf numFmtId="0" fontId="0" fillId="25" borderId="0" applyAlignment="1" pivotButton="0" quotePrefix="0" xfId="0">
      <alignment horizontal="center"/>
    </xf>
    <xf numFmtId="0" fontId="10" fillId="3" borderId="0" applyAlignment="1" pivotButton="0" quotePrefix="0" xfId="0">
      <alignment horizontal="center"/>
    </xf>
    <xf numFmtId="0" fontId="0" fillId="22" borderId="3" applyAlignment="1" pivotButton="0" quotePrefix="0" xfId="0">
      <alignment horizontal="center"/>
    </xf>
    <xf numFmtId="0" fontId="0" fillId="22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33" borderId="0" applyAlignment="1" pivotButton="0" quotePrefix="0" xfId="0">
      <alignment horizontal="center"/>
    </xf>
    <xf numFmtId="0" fontId="0" fillId="19" borderId="3" applyAlignment="1" pivotButton="0" quotePrefix="0" xfId="0">
      <alignment horizontal="center"/>
    </xf>
    <xf numFmtId="0" fontId="0" fillId="17" borderId="3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23" borderId="0" applyAlignment="1" pivotButton="0" quotePrefix="0" xfId="0">
      <alignment horizontal="center"/>
    </xf>
    <xf numFmtId="0" fontId="4" fillId="37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6" fillId="5" borderId="3" applyAlignment="1" pivotButton="0" quotePrefix="0" xfId="0">
      <alignment horizontal="center"/>
    </xf>
    <xf numFmtId="0" fontId="10" fillId="5" borderId="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25" fillId="13" borderId="3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9" fillId="5" borderId="3" applyAlignment="1" pivotButton="0" quotePrefix="0" xfId="0">
      <alignment horizontal="center"/>
    </xf>
    <xf numFmtId="0" fontId="9" fillId="5" borderId="0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14" fontId="5" fillId="0" borderId="3" applyAlignment="1" pivotButton="0" quotePrefix="0" xfId="0">
      <alignment horizontal="right" vertical="center"/>
    </xf>
    <xf numFmtId="14" fontId="5" fillId="0" borderId="0" applyAlignment="1" pivotButton="0" quotePrefix="0" xfId="0">
      <alignment horizontal="right" vertical="center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9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/>
    </xf>
    <xf numFmtId="0" fontId="4" fillId="0" borderId="1" applyAlignment="1" pivotButton="0" quotePrefix="0" xfId="0">
      <alignment horizontal="center" wrapText="1"/>
    </xf>
    <xf numFmtId="0" fontId="0" fillId="0" borderId="47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6" applyAlignment="1" pivotButton="0" quotePrefix="0" xfId="0">
      <alignment horizontal="center" wrapText="1"/>
    </xf>
    <xf numFmtId="0" fontId="0" fillId="49" borderId="0" applyAlignment="1" pivotButton="0" quotePrefix="0" xfId="0">
      <alignment horizontal="center"/>
    </xf>
    <xf numFmtId="0" fontId="25" fillId="13" borderId="0" applyAlignment="1" pivotButton="0" quotePrefix="0" xfId="0">
      <alignment horizontal="center"/>
    </xf>
    <xf numFmtId="0" fontId="0" fillId="47" borderId="0" applyAlignment="1" pivotButton="0" quotePrefix="0" xfId="0">
      <alignment horizontal="center"/>
    </xf>
    <xf numFmtId="0" fontId="4" fillId="49" borderId="0" applyAlignment="1" pivotButton="0" quotePrefix="0" xfId="0">
      <alignment horizontal="center"/>
    </xf>
    <xf numFmtId="0" fontId="4" fillId="48" borderId="0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60" borderId="0" applyAlignment="1" pivotButton="0" quotePrefix="0" xfId="0">
      <alignment horizontal="left"/>
    </xf>
    <xf numFmtId="0" fontId="4" fillId="25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5" fillId="60" borderId="0" applyAlignment="1" pivotButton="0" quotePrefix="0" xfId="0">
      <alignment horizontal="left"/>
    </xf>
    <xf numFmtId="0" fontId="4" fillId="5" borderId="0" applyAlignment="1" pivotButton="0" quotePrefix="0" xfId="0">
      <alignment horizontal="center"/>
    </xf>
    <xf numFmtId="0" fontId="33" fillId="0" borderId="42" applyAlignment="1" pivotButton="0" quotePrefix="0" xfId="0">
      <alignment horizontal="center"/>
    </xf>
    <xf numFmtId="0" fontId="35" fillId="14" borderId="0" applyAlignment="1" pivotButton="0" quotePrefix="0" xfId="0">
      <alignment horizontal="center"/>
    </xf>
    <xf numFmtId="0" fontId="30" fillId="14" borderId="0" applyAlignment="1" pivotButton="0" quotePrefix="0" xfId="0">
      <alignment horizontal="center"/>
    </xf>
    <xf numFmtId="0" fontId="4" fillId="26" borderId="0" applyAlignment="1" pivotButton="0" quotePrefix="0" xfId="0">
      <alignment horizontal="center"/>
    </xf>
    <xf numFmtId="0" fontId="5" fillId="45" borderId="3" applyAlignment="1" pivotButton="0" quotePrefix="0" xfId="0">
      <alignment horizontal="center"/>
    </xf>
    <xf numFmtId="0" fontId="5" fillId="45" borderId="0" applyAlignment="1" pivotButton="0" quotePrefix="0" xfId="0">
      <alignment horizontal="center"/>
    </xf>
    <xf numFmtId="0" fontId="4" fillId="43" borderId="0" applyAlignment="1" pivotButton="0" quotePrefix="0" xfId="0">
      <alignment horizontal="center"/>
    </xf>
    <xf numFmtId="0" fontId="4" fillId="43" borderId="3" applyAlignment="1" pivotButton="0" quotePrefix="0" xfId="0">
      <alignment horizontal="center"/>
    </xf>
    <xf numFmtId="0" fontId="0" fillId="0" borderId="0" pivotButton="0" quotePrefix="0" xfId="0"/>
    <xf numFmtId="0" fontId="0" fillId="0" borderId="18" pivotButton="0" quotePrefix="0" xfId="0"/>
    <xf numFmtId="0" fontId="0" fillId="0" borderId="14" pivotButton="0" quotePrefix="0" xfId="0"/>
    <xf numFmtId="0" fontId="0" fillId="0" borderId="0" pivotButton="0" quotePrefix="0" xfId="0"/>
    <xf numFmtId="14" fontId="8" fillId="0" borderId="28" applyAlignment="1" pivotButton="0" quotePrefix="0" xfId="0">
      <alignment vertical="center"/>
    </xf>
    <xf numFmtId="14" fontId="8" fillId="0" borderId="55" applyAlignment="1" pivotButton="0" quotePrefix="0" xfId="0">
      <alignment vertical="center"/>
    </xf>
    <xf numFmtId="0" fontId="0" fillId="15" borderId="55" pivotButton="0" quotePrefix="0" xfId="0"/>
    <xf numFmtId="0" fontId="0" fillId="0" borderId="55" pivotButton="0" quotePrefix="0" xfId="0"/>
    <xf numFmtId="0" fontId="0" fillId="16" borderId="55" pivotButton="0" quotePrefix="0" xfId="0"/>
    <xf numFmtId="0" fontId="0" fillId="61" borderId="68" pivotButton="0" quotePrefix="0" xfId="0"/>
    <xf numFmtId="0" fontId="0" fillId="0" borderId="68" pivotButton="0" quotePrefix="0" xfId="0"/>
    <xf numFmtId="0" fontId="8" fillId="0" borderId="66" applyAlignment="1" pivotButton="0" quotePrefix="0" xfId="0">
      <alignment vertical="center"/>
    </xf>
    <xf numFmtId="0" fontId="0" fillId="4" borderId="28" pivotButton="0" quotePrefix="0" xfId="0"/>
    <xf numFmtId="0" fontId="7" fillId="61" borderId="67" applyAlignment="1" pivotButton="0" quotePrefix="0" xfId="0">
      <alignment vertical="center"/>
    </xf>
    <xf numFmtId="0" fontId="5" fillId="65" borderId="0" pivotButton="0" quotePrefix="0" xfId="0"/>
    <xf numFmtId="0" fontId="1" fillId="65" borderId="0" pivotButton="0" quotePrefix="0" xfId="0"/>
    <xf numFmtId="0" fontId="1" fillId="5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0" fontId="1" fillId="5" borderId="0" pivotButton="0" quotePrefix="0" xfId="0"/>
    <xf numFmtId="0" fontId="1" fillId="0" borderId="14" pivotButton="0" quotePrefix="0" xfId="0"/>
    <xf numFmtId="0" fontId="0" fillId="2" borderId="0" pivotButton="0" quotePrefix="0" xfId="0"/>
    <xf numFmtId="0" fontId="4" fillId="0" borderId="0" pivotButton="0" quotePrefix="0" xfId="0"/>
    <xf numFmtId="0" fontId="1" fillId="22" borderId="0" pivotButton="0" quotePrefix="0" xfId="0"/>
    <xf numFmtId="0" fontId="1" fillId="61" borderId="14" pivotButton="0" quotePrefix="0" xfId="0"/>
    <xf numFmtId="0" fontId="0" fillId="0" borderId="16" pivotButton="0" quotePrefix="0" xfId="0"/>
    <xf numFmtId="0" fontId="0" fillId="70" borderId="14" pivotButton="0" quotePrefix="0" xfId="0"/>
    <xf numFmtId="0" fontId="0" fillId="70" borderId="16" pivotButton="0" quotePrefix="0" xfId="0"/>
    <xf numFmtId="0" fontId="0" fillId="70" borderId="18" pivotButton="0" quotePrefix="0" xfId="0"/>
    <xf numFmtId="0" fontId="0" fillId="0" borderId="23" pivotButton="0" quotePrefix="0" xfId="0"/>
    <xf numFmtId="0" fontId="4" fillId="0" borderId="16" pivotButton="0" quotePrefix="0" xfId="0"/>
    <xf numFmtId="0" fontId="0" fillId="70" borderId="23" pivotButton="0" quotePrefix="0" xfId="0"/>
    <xf numFmtId="0" fontId="4" fillId="70" borderId="16" pivotButton="0" quotePrefix="0" xfId="0"/>
    <xf numFmtId="0" fontId="0" fillId="43" borderId="18" pivotButton="0" quotePrefix="0" xfId="0"/>
    <xf numFmtId="0" fontId="69" fillId="0" borderId="42" applyAlignment="1" pivotButton="0" quotePrefix="0" xfId="0">
      <alignment vertical="center"/>
    </xf>
    <xf numFmtId="0" fontId="6" fillId="10" borderId="13" applyAlignment="1" pivotButton="0" quotePrefix="0" xfId="0">
      <alignment horizontal="center" vertical="center"/>
    </xf>
    <xf numFmtId="0" fontId="10" fillId="3" borderId="19" applyAlignment="1" pivotButton="0" quotePrefix="0" xfId="0">
      <alignment horizontal="center"/>
    </xf>
    <xf numFmtId="0" fontId="0" fillId="0" borderId="25" pivotButton="0" quotePrefix="0" xfId="0"/>
    <xf numFmtId="0" fontId="0" fillId="0" borderId="26" pivotButton="0" quotePrefix="0" xfId="0"/>
    <xf numFmtId="0" fontId="0" fillId="0" borderId="5" pivotButton="0" quotePrefix="0" xfId="0"/>
    <xf numFmtId="0" fontId="4" fillId="0" borderId="14" applyAlignment="1" pivotButton="0" quotePrefix="0" xfId="0">
      <alignment horizontal="center" wrapText="1"/>
    </xf>
    <xf numFmtId="0" fontId="0" fillId="0" borderId="47" pivotButton="0" quotePrefix="0" xfId="0"/>
    <xf numFmtId="0" fontId="0" fillId="0" borderId="42" pivotButton="0" quotePrefix="0" xfId="0"/>
    <xf numFmtId="0" fontId="4" fillId="63" borderId="14" applyAlignment="1" pivotButton="0" quotePrefix="0" xfId="0">
      <alignment horizontal="center"/>
    </xf>
    <xf numFmtId="0" fontId="6" fillId="10" borderId="17" applyAlignment="1" pivotButton="0" quotePrefix="0" xfId="0">
      <alignment horizontal="center" vertical="center"/>
    </xf>
    <xf numFmtId="49" fontId="6" fillId="61" borderId="13" applyAlignment="1" pivotButton="0" quotePrefix="0" xfId="0">
      <alignment horizontal="center" vertical="center"/>
    </xf>
    <xf numFmtId="0" fontId="59" fillId="44" borderId="71" applyAlignment="1" pivotButton="0" quotePrefix="0" xfId="0">
      <alignment horizontal="center"/>
    </xf>
    <xf numFmtId="0" fontId="0" fillId="0" borderId="65" pivotButton="0" quotePrefix="0" xfId="0"/>
    <xf numFmtId="0" fontId="14" fillId="66" borderId="71" applyAlignment="1" pivotButton="0" quotePrefix="0" xfId="0">
      <alignment horizontal="center"/>
    </xf>
    <xf numFmtId="0" fontId="14" fillId="26" borderId="71" applyAlignment="1" pivotButton="0" quotePrefix="0" xfId="0">
      <alignment horizontal="center"/>
    </xf>
    <xf numFmtId="0" fontId="0" fillId="0" borderId="64" pivotButton="0" quotePrefix="0" xfId="0"/>
    <xf numFmtId="0" fontId="4" fillId="5" borderId="71" applyAlignment="1" pivotButton="0" quotePrefix="0" xfId="0">
      <alignment horizontal="center"/>
    </xf>
    <xf numFmtId="49" fontId="67" fillId="5" borderId="13" applyAlignment="1" pivotButton="0" quotePrefix="0" xfId="0">
      <alignment horizontal="center" vertical="center"/>
    </xf>
    <xf numFmtId="0" fontId="70" fillId="73" borderId="14" applyAlignment="1" pivotButton="0" quotePrefix="0" xfId="0">
      <alignment horizontal="center" vertical="center"/>
    </xf>
    <xf numFmtId="0" fontId="71" fillId="73" borderId="14" applyAlignment="1" pivotButton="0" quotePrefix="0" xfId="0">
      <alignment horizontal="center" vertical="center"/>
    </xf>
    <xf numFmtId="0" fontId="70" fillId="74" borderId="14" applyAlignment="1" pivotButton="0" quotePrefix="0" xfId="0">
      <alignment horizontal="center" vertical="center"/>
    </xf>
    <xf numFmtId="0" fontId="71" fillId="74" borderId="14" applyAlignment="1" pivotButton="0" quotePrefix="0" xfId="0">
      <alignment horizontal="center" vertical="center"/>
    </xf>
    <xf numFmtId="0" fontId="70" fillId="75" borderId="14" applyAlignment="1" pivotButton="0" quotePrefix="0" xfId="0">
      <alignment horizontal="center" vertical="center"/>
    </xf>
    <xf numFmtId="0" fontId="71" fillId="75" borderId="14" applyAlignment="1" pivotButton="0" quotePrefix="0" xfId="0">
      <alignment horizontal="center" vertical="center"/>
    </xf>
    <xf numFmtId="0" fontId="70" fillId="76" borderId="14" applyAlignment="1" pivotButton="0" quotePrefix="0" xfId="0">
      <alignment horizontal="center" vertical="center"/>
    </xf>
    <xf numFmtId="0" fontId="72" fillId="73" borderId="0" pivotButton="0" quotePrefix="0" xfId="0"/>
    <xf numFmtId="0" fontId="72" fillId="74" borderId="0" pivotButton="0" quotePrefix="0" xfId="0"/>
    <xf numFmtId="0" fontId="72" fillId="75" borderId="0" pivotButton="0" quotePrefix="0" xfId="0"/>
    <xf numFmtId="0" fontId="72" fillId="76" borderId="0" pivotButton="0" quotePrefix="0" xfId="0"/>
    <xf numFmtId="0" fontId="70" fillId="87" borderId="14" applyAlignment="1" pivotButton="0" quotePrefix="0" xfId="0">
      <alignment horizontal="center" vertical="center"/>
    </xf>
    <xf numFmtId="0" fontId="71" fillId="87" borderId="14" applyAlignment="1" pivotButton="0" quotePrefix="0" xfId="0">
      <alignment horizontal="center" vertical="center"/>
    </xf>
    <xf numFmtId="0" fontId="72" fillId="87" borderId="0" pivotButton="0" quotePrefix="0" xfId="0"/>
    <xf numFmtId="0" fontId="70" fillId="90" borderId="16" applyAlignment="1" pivotButton="0" quotePrefix="0" xfId="0">
      <alignment horizontal="center" vertical="center"/>
    </xf>
    <xf numFmtId="0" fontId="71" fillId="90" borderId="16" applyAlignment="1" pivotButton="0" quotePrefix="0" xfId="0">
      <alignment horizontal="center" vertical="center"/>
    </xf>
    <xf numFmtId="0" fontId="72" fillId="90" borderId="0" pivotButton="0" quotePrefix="0" xfId="0"/>
    <xf numFmtId="0" fontId="70" fillId="71" borderId="14" applyAlignment="1" pivotButton="0" quotePrefix="0" xfId="0">
      <alignment horizontal="center" vertical="center"/>
    </xf>
    <xf numFmtId="0" fontId="71" fillId="71" borderId="14" applyAlignment="1" pivotButton="0" quotePrefix="0" xfId="0">
      <alignment horizontal="center" vertical="center"/>
    </xf>
    <xf numFmtId="0" fontId="70" fillId="72" borderId="14" applyAlignment="1" pivotButton="0" quotePrefix="0" xfId="0">
      <alignment horizontal="center" vertical="center"/>
    </xf>
    <xf numFmtId="0" fontId="71" fillId="72" borderId="14" applyAlignment="1" pivotButton="0" quotePrefix="0" xfId="0">
      <alignment horizontal="center" vertical="center"/>
    </xf>
    <xf numFmtId="0" fontId="72" fillId="71" borderId="0" pivotButton="0" quotePrefix="0" xfId="0"/>
    <xf numFmtId="0" fontId="72" fillId="72" borderId="0" pivotButton="0" quotePrefix="0" xfId="0"/>
    <xf numFmtId="0" fontId="70" fillId="84" borderId="16" applyAlignment="1" pivotButton="0" quotePrefix="0" xfId="0">
      <alignment horizontal="center" vertical="center"/>
    </xf>
    <xf numFmtId="0" fontId="71" fillId="84" borderId="16" applyAlignment="1" pivotButton="0" quotePrefix="0" xfId="0">
      <alignment horizontal="center" vertical="center"/>
    </xf>
    <xf numFmtId="0" fontId="72" fillId="84" borderId="0" pivotButton="0" quotePrefix="0" xfId="0"/>
    <xf numFmtId="0" fontId="71" fillId="76" borderId="14" applyAlignment="1" pivotButton="0" quotePrefix="0" xfId="0">
      <alignment horizontal="center" vertical="center"/>
    </xf>
    <xf numFmtId="0" fontId="70" fillId="77" borderId="14" applyAlignment="1" pivotButton="0" quotePrefix="0" xfId="0">
      <alignment horizontal="center" vertical="center"/>
    </xf>
    <xf numFmtId="0" fontId="71" fillId="77" borderId="14" applyAlignment="1" pivotButton="0" quotePrefix="0" xfId="0">
      <alignment horizontal="center" vertical="center"/>
    </xf>
    <xf numFmtId="0" fontId="73" fillId="76" borderId="0" pivotButton="0" quotePrefix="0" xfId="0"/>
    <xf numFmtId="0" fontId="72" fillId="77" borderId="0" pivotButton="0" quotePrefix="0" xfId="0"/>
    <xf numFmtId="0" fontId="70" fillId="78" borderId="14" applyAlignment="1" pivotButton="0" quotePrefix="0" xfId="0">
      <alignment horizontal="center" vertical="center"/>
    </xf>
    <xf numFmtId="0" fontId="71" fillId="78" borderId="14" applyAlignment="1" pivotButton="0" quotePrefix="0" xfId="0">
      <alignment horizontal="center" vertical="center"/>
    </xf>
    <xf numFmtId="0" fontId="70" fillId="79" borderId="14" applyAlignment="1" pivotButton="0" quotePrefix="0" xfId="0">
      <alignment horizontal="center" vertical="center"/>
    </xf>
    <xf numFmtId="0" fontId="71" fillId="79" borderId="14" applyAlignment="1" pivotButton="0" quotePrefix="0" xfId="0">
      <alignment horizontal="center" vertical="center"/>
    </xf>
    <xf numFmtId="0" fontId="72" fillId="78" borderId="0" pivotButton="0" quotePrefix="0" xfId="0"/>
    <xf numFmtId="0" fontId="72" fillId="79" borderId="0" pivotButton="0" quotePrefix="0" xfId="0"/>
    <xf numFmtId="0" fontId="70" fillId="92" borderId="16" applyAlignment="1" pivotButton="0" quotePrefix="0" xfId="0">
      <alignment horizontal="center" vertical="center"/>
    </xf>
    <xf numFmtId="0" fontId="71" fillId="92" borderId="16" applyAlignment="1" pivotButton="0" quotePrefix="0" xfId="0">
      <alignment horizontal="center" vertical="center"/>
    </xf>
    <xf numFmtId="0" fontId="73" fillId="90" borderId="0" pivotButton="0" quotePrefix="0" xfId="0"/>
    <xf numFmtId="0" fontId="72" fillId="92" borderId="0" pivotButton="0" quotePrefix="0" xfId="0"/>
    <xf numFmtId="0" fontId="73" fillId="72" borderId="0" pivotButton="0" quotePrefix="0" xfId="0"/>
    <xf numFmtId="0" fontId="70" fillId="85" borderId="16" applyAlignment="1" pivotButton="0" quotePrefix="0" xfId="0">
      <alignment horizontal="center" vertical="center"/>
    </xf>
    <xf numFmtId="0" fontId="71" fillId="85" borderId="16" applyAlignment="1" pivotButton="0" quotePrefix="0" xfId="0">
      <alignment horizontal="center" vertical="center"/>
    </xf>
    <xf numFmtId="0" fontId="72" fillId="85" borderId="0" pivotButton="0" quotePrefix="0" xfId="0"/>
    <xf numFmtId="0" fontId="73" fillId="77" borderId="0" pivotButton="0" quotePrefix="0" xfId="0"/>
    <xf numFmtId="0" fontId="71" fillId="79" borderId="23" applyAlignment="1" pivotButton="0" quotePrefix="0" xfId="0">
      <alignment horizontal="center" vertical="center"/>
    </xf>
    <xf numFmtId="0" fontId="73" fillId="79" borderId="0" pivotButton="0" quotePrefix="0" xfId="0"/>
    <xf numFmtId="49" fontId="36" fillId="9" borderId="13" applyAlignment="1" pivotButton="0" quotePrefix="0" xfId="0">
      <alignment horizontal="center" vertical="center"/>
    </xf>
    <xf numFmtId="0" fontId="70" fillId="80" borderId="14" applyAlignment="1" pivotButton="0" quotePrefix="0" xfId="0">
      <alignment horizontal="center" vertical="center"/>
    </xf>
    <xf numFmtId="0" fontId="71" fillId="80" borderId="14" applyAlignment="1" pivotButton="0" quotePrefix="0" xfId="0">
      <alignment horizontal="center" vertical="center"/>
    </xf>
    <xf numFmtId="0" fontId="72" fillId="80" borderId="0" pivotButton="0" quotePrefix="0" xfId="0"/>
    <xf numFmtId="0" fontId="70" fillId="93" borderId="16" applyAlignment="1" pivotButton="0" quotePrefix="0" xfId="0">
      <alignment horizontal="center" vertical="center"/>
    </xf>
    <xf numFmtId="0" fontId="71" fillId="93" borderId="16" applyAlignment="1" pivotButton="0" quotePrefix="0" xfId="0">
      <alignment horizontal="center" vertical="center"/>
    </xf>
    <xf numFmtId="0" fontId="72" fillId="93" borderId="0" pivotButton="0" quotePrefix="0" xfId="0"/>
    <xf numFmtId="0" fontId="70" fillId="88" borderId="14" applyAlignment="1" pivotButton="0" quotePrefix="0" xfId="0">
      <alignment horizontal="center" vertical="center"/>
    </xf>
    <xf numFmtId="0" fontId="71" fillId="88" borderId="14" applyAlignment="1" pivotButton="0" quotePrefix="0" xfId="0">
      <alignment horizontal="center" vertical="center"/>
    </xf>
    <xf numFmtId="0" fontId="70" fillId="86" borderId="14" applyAlignment="1" pivotButton="0" quotePrefix="0" xfId="0">
      <alignment horizontal="center" vertical="center"/>
    </xf>
    <xf numFmtId="0" fontId="71" fillId="86" borderId="14" applyAlignment="1" pivotButton="0" quotePrefix="0" xfId="0">
      <alignment horizontal="center" vertical="center"/>
    </xf>
    <xf numFmtId="0" fontId="72" fillId="86" borderId="0" pivotButton="0" quotePrefix="0" xfId="0"/>
    <xf numFmtId="0" fontId="72" fillId="88" borderId="0" pivotButton="0" quotePrefix="0" xfId="0"/>
    <xf numFmtId="0" fontId="70" fillId="91" borderId="16" applyAlignment="1" pivotButton="0" quotePrefix="0" xfId="0">
      <alignment horizontal="center" vertical="center"/>
    </xf>
    <xf numFmtId="0" fontId="71" fillId="91" borderId="16" applyAlignment="1" pivotButton="0" quotePrefix="0" xfId="0">
      <alignment horizontal="center" vertical="center"/>
    </xf>
    <xf numFmtId="0" fontId="72" fillId="91" borderId="0" pivotButton="0" quotePrefix="0" xfId="0"/>
    <xf numFmtId="0" fontId="70" fillId="81" borderId="23" applyAlignment="1" pivotButton="0" quotePrefix="0" xfId="0">
      <alignment horizontal="center" vertical="center"/>
    </xf>
    <xf numFmtId="0" fontId="71" fillId="81" borderId="14" applyAlignment="1" pivotButton="0" quotePrefix="0" xfId="0">
      <alignment horizontal="center" vertical="center"/>
    </xf>
    <xf numFmtId="0" fontId="70" fillId="82" borderId="14" applyAlignment="1" pivotButton="0" quotePrefix="0" xfId="0">
      <alignment horizontal="center" vertical="center"/>
    </xf>
    <xf numFmtId="0" fontId="71" fillId="82" borderId="14" applyAlignment="1" pivotButton="0" quotePrefix="0" xfId="0">
      <alignment horizontal="center" vertical="center"/>
    </xf>
    <xf numFmtId="0" fontId="72" fillId="81" borderId="0" pivotButton="0" quotePrefix="0" xfId="0"/>
    <xf numFmtId="0" fontId="72" fillId="82" borderId="0" pivotButton="0" quotePrefix="0" xfId="0"/>
    <xf numFmtId="0" fontId="70" fillId="89" borderId="16" applyAlignment="1" pivotButton="0" quotePrefix="0" xfId="0">
      <alignment horizontal="center" vertical="center"/>
    </xf>
    <xf numFmtId="0" fontId="71" fillId="89" borderId="16" applyAlignment="1" pivotButton="0" quotePrefix="0" xfId="0">
      <alignment horizontal="center" vertical="center"/>
    </xf>
    <xf numFmtId="0" fontId="72" fillId="89" borderId="0" pivotButton="0" quotePrefix="0" xfId="0"/>
    <xf numFmtId="0" fontId="73" fillId="93" borderId="0" pivotButton="0" quotePrefix="0" xfId="0"/>
    <xf numFmtId="0" fontId="70" fillId="94" borderId="16" applyAlignment="1" pivotButton="0" quotePrefix="0" xfId="0">
      <alignment horizontal="center" vertical="center"/>
    </xf>
    <xf numFmtId="0" fontId="71" fillId="94" borderId="16" applyAlignment="1" pivotButton="0" quotePrefix="0" xfId="0">
      <alignment horizontal="center" vertical="center"/>
    </xf>
    <xf numFmtId="0" fontId="72" fillId="94" borderId="0" pivotButton="0" quotePrefix="0" xfId="0"/>
    <xf numFmtId="0" fontId="71" fillId="82" borderId="23" applyAlignment="1" pivotButton="0" quotePrefix="0" xfId="0">
      <alignment horizontal="center" vertical="center"/>
    </xf>
    <xf numFmtId="0" fontId="70" fillId="81" borderId="14" applyAlignment="1" pivotButton="0" quotePrefix="0" xfId="0">
      <alignment horizontal="center" vertical="center"/>
    </xf>
    <xf numFmtId="0" fontId="73" fillId="82" borderId="0" pivotButton="0" quotePrefix="0" xfId="0"/>
    <xf numFmtId="0" fontId="70" fillId="71" borderId="16" applyAlignment="1" pivotButton="0" quotePrefix="0" xfId="0">
      <alignment horizontal="center" vertical="center"/>
    </xf>
    <xf numFmtId="0" fontId="71" fillId="71" borderId="16" applyAlignment="1" pivotButton="0" quotePrefix="0" xfId="0">
      <alignment horizontal="center" vertical="center"/>
    </xf>
    <xf numFmtId="0" fontId="70" fillId="85" borderId="18" applyAlignment="1" pivotButton="0" quotePrefix="0" xfId="0">
      <alignment horizontal="center" vertical="center"/>
    </xf>
    <xf numFmtId="0" fontId="71" fillId="85" borderId="14" applyAlignment="1" pivotButton="0" quotePrefix="0" xfId="0">
      <alignment horizontal="center" vertical="center"/>
    </xf>
    <xf numFmtId="0" fontId="73" fillId="94" borderId="0" pivotButton="0" quotePrefix="0" xfId="0"/>
    <xf numFmtId="0" fontId="70" fillId="72" borderId="16" applyAlignment="1" pivotButton="0" quotePrefix="0" xfId="0">
      <alignment horizontal="center" vertical="center"/>
    </xf>
    <xf numFmtId="0" fontId="71" fillId="72" borderId="16" applyAlignment="1" pivotButton="0" quotePrefix="0" xfId="0">
      <alignment horizontal="center" vertical="center"/>
    </xf>
    <xf numFmtId="0" fontId="73" fillId="71" borderId="0" pivotButton="0" quotePrefix="0" xfId="0"/>
    <xf numFmtId="0" fontId="70" fillId="83" borderId="14" applyAlignment="1" pivotButton="0" quotePrefix="0" xfId="0">
      <alignment horizontal="center" vertical="center"/>
    </xf>
    <xf numFmtId="0" fontId="71" fillId="83" borderId="14" applyAlignment="1" pivotButton="0" quotePrefix="0" xfId="0">
      <alignment horizontal="center" vertical="center"/>
    </xf>
    <xf numFmtId="0" fontId="72" fillId="83" borderId="0" pivotButton="0" quotePrefix="0" xfId="0"/>
    <xf numFmtId="0" fontId="73" fillId="83" borderId="0" pivotButton="0" quotePrefix="0" xfId="0"/>
    <xf numFmtId="0" fontId="74" fillId="0" borderId="0" pivotButton="0" quotePrefix="0" xfId="0"/>
    <xf numFmtId="0" fontId="0" fillId="95" borderId="14" pivotButton="0" quotePrefix="0" xfId="0"/>
    <xf numFmtId="0" fontId="0" fillId="96" borderId="14" pivotButton="0" quotePrefix="0" xfId="0"/>
    <xf numFmtId="0" fontId="0" fillId="95" borderId="16" pivotButton="0" quotePrefix="0" xfId="0"/>
    <xf numFmtId="0" fontId="0" fillId="96" borderId="16" pivotButton="0" quotePrefix="0" xfId="0"/>
    <xf numFmtId="0" fontId="0" fillId="95" borderId="18" pivotButton="0" quotePrefix="0" xfId="0"/>
    <xf numFmtId="0" fontId="0" fillId="96" borderId="18" pivotButton="0" quotePrefix="0" xfId="0"/>
    <xf numFmtId="0" fontId="0" fillId="96" borderId="23" pivotButton="0" quotePrefix="0" xfId="0"/>
    <xf numFmtId="0" fontId="4" fillId="96" borderId="16" pivotButton="0" quotePrefix="0" xfId="0"/>
    <xf numFmtId="0" fontId="0" fillId="97" borderId="14" pivotButton="0" quotePrefix="0" xfId="0"/>
    <xf numFmtId="0" fontId="0" fillId="97" borderId="16" pivotButton="0" quotePrefix="0" xfId="0"/>
    <xf numFmtId="0" fontId="0" fillId="97" borderId="18" pivotButton="0" quotePrefix="0" xfId="0"/>
    <xf numFmtId="0" fontId="75" fillId="0" borderId="0" pivotButton="0" quotePrefix="0" xfId="0"/>
    <xf numFmtId="0" fontId="76" fillId="0" borderId="0" pivotButton="0" quotePrefix="0" xfId="0"/>
    <xf numFmtId="0" fontId="77" fillId="98" borderId="74" applyAlignment="1" pivotButton="0" quotePrefix="0" xfId="0">
      <alignment horizontal="center" vertical="center" wrapText="1"/>
    </xf>
    <xf numFmtId="0" fontId="78" fillId="73" borderId="74" applyAlignment="1" pivotButton="0" quotePrefix="0" xfId="0">
      <alignment vertical="center"/>
    </xf>
    <xf numFmtId="0" fontId="78" fillId="0" borderId="74" applyAlignment="1" pivotButton="0" quotePrefix="0" xfId="0">
      <alignment vertical="center" wrapText="1"/>
    </xf>
    <xf numFmtId="0" fontId="78" fillId="0" borderId="74" applyAlignment="1" pivotButton="0" quotePrefix="0" xfId="0">
      <alignment vertical="center"/>
    </xf>
    <xf numFmtId="166" fontId="78" fillId="0" borderId="74" applyAlignment="1" pivotButton="0" quotePrefix="0" xfId="0">
      <alignment vertical="center"/>
    </xf>
    <xf numFmtId="0" fontId="78" fillId="87" borderId="74" applyAlignment="1" pivotButton="0" quotePrefix="0" xfId="0">
      <alignment vertical="center"/>
    </xf>
    <xf numFmtId="0" fontId="78" fillId="90" borderId="74" applyAlignment="1" pivotButton="0" quotePrefix="0" xfId="0">
      <alignment vertical="center"/>
    </xf>
    <xf numFmtId="0" fontId="78" fillId="71" borderId="74" applyAlignment="1" pivotButton="0" quotePrefix="0" xfId="0">
      <alignment vertical="center"/>
    </xf>
    <xf numFmtId="0" fontId="78" fillId="84" borderId="74" applyAlignment="1" pivotButton="0" quotePrefix="0" xfId="0">
      <alignment vertical="center"/>
    </xf>
    <xf numFmtId="0" fontId="78" fillId="74" borderId="74" applyAlignment="1" pivotButton="0" quotePrefix="0" xfId="0">
      <alignment vertical="center"/>
    </xf>
    <xf numFmtId="0" fontId="78" fillId="72" borderId="74" applyAlignment="1" pivotButton="0" quotePrefix="0" xfId="0">
      <alignment vertical="center"/>
    </xf>
    <xf numFmtId="0" fontId="78" fillId="75" borderId="74" applyAlignment="1" pivotButton="0" quotePrefix="0" xfId="0">
      <alignment vertical="center"/>
    </xf>
    <xf numFmtId="0" fontId="78" fillId="76" borderId="74" applyAlignment="1" pivotButton="0" quotePrefix="0" xfId="0">
      <alignment vertical="center"/>
    </xf>
    <xf numFmtId="0" fontId="78" fillId="78" borderId="74" applyAlignment="1" pivotButton="0" quotePrefix="0" xfId="0">
      <alignment vertical="center"/>
    </xf>
    <xf numFmtId="0" fontId="78" fillId="92" borderId="74" applyAlignment="1" pivotButton="0" quotePrefix="0" xfId="0">
      <alignment vertical="center"/>
    </xf>
    <xf numFmtId="0" fontId="78" fillId="77" borderId="74" applyAlignment="1" pivotButton="0" quotePrefix="0" xfId="0">
      <alignment vertical="center"/>
    </xf>
    <xf numFmtId="0" fontId="78" fillId="85" borderId="74" applyAlignment="1" pivotButton="0" quotePrefix="0" xfId="0">
      <alignment vertical="center"/>
    </xf>
    <xf numFmtId="0" fontId="78" fillId="79" borderId="74" applyAlignment="1" pivotButton="0" quotePrefix="0" xfId="0">
      <alignment vertical="center"/>
    </xf>
    <xf numFmtId="0" fontId="78" fillId="80" borderId="74" applyAlignment="1" pivotButton="0" quotePrefix="0" xfId="0">
      <alignment vertical="center"/>
    </xf>
    <xf numFmtId="0" fontId="78" fillId="93" borderId="74" applyAlignment="1" pivotButton="0" quotePrefix="0" xfId="0">
      <alignment vertical="center"/>
    </xf>
    <xf numFmtId="0" fontId="78" fillId="88" borderId="74" applyAlignment="1" pivotButton="0" quotePrefix="0" xfId="0">
      <alignment vertical="center"/>
    </xf>
    <xf numFmtId="0" fontId="78" fillId="86" borderId="74" applyAlignment="1" pivotButton="0" quotePrefix="0" xfId="0">
      <alignment vertical="center"/>
    </xf>
    <xf numFmtId="0" fontId="78" fillId="91" borderId="74" applyAlignment="1" pivotButton="0" quotePrefix="0" xfId="0">
      <alignment vertical="center"/>
    </xf>
    <xf numFmtId="0" fontId="78" fillId="81" borderId="74" applyAlignment="1" pivotButton="0" quotePrefix="0" xfId="0">
      <alignment vertical="center"/>
    </xf>
    <xf numFmtId="0" fontId="78" fillId="94" borderId="74" applyAlignment="1" pivotButton="0" quotePrefix="0" xfId="0">
      <alignment vertical="center"/>
    </xf>
    <xf numFmtId="0" fontId="78" fillId="89" borderId="74" applyAlignment="1" pivotButton="0" quotePrefix="0" xfId="0">
      <alignment vertical="center"/>
    </xf>
    <xf numFmtId="0" fontId="78" fillId="82" borderId="74" applyAlignment="1" pivotButton="0" quotePrefix="0" xfId="0">
      <alignment vertical="center"/>
    </xf>
    <xf numFmtId="0" fontId="78" fillId="83" borderId="74" applyAlignment="1" pivotButton="0" quotePrefix="0" xfId="0">
      <alignment vertical="center"/>
    </xf>
    <xf numFmtId="0" fontId="79" fillId="0" borderId="0" pivotButton="0" quotePrefix="0" xfId="0"/>
    <xf numFmtId="0" fontId="80" fillId="0" borderId="0" pivotButton="0" quotePrefix="0" xfId="0"/>
    <xf numFmtId="164" fontId="4" fillId="9" borderId="0" pivotButton="0" quotePrefix="0" xfId="3"/>
    <xf numFmtId="164" fontId="0" fillId="9" borderId="0" pivotButton="0" quotePrefix="0" xfId="3"/>
  </cellXfs>
  <cellStyles count="4">
    <cellStyle name="Normal" xfId="0" builtinId="0"/>
    <cellStyle name="Hipervínculo" xfId="1" builtinId="8"/>
    <cellStyle name="Moneda 2" xfId="2"/>
    <cellStyle name="Moneda" xfId="3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multi</author>
    <author>ADMIN 2</author>
  </authors>
  <commentList>
    <comment ref="AF27" authorId="0" shapeId="0">
      <text>
        <t xml:space="preserve">multi:
8:00-14:00 VAM FORMACIO </t>
      </text>
    </comment>
    <comment ref="R29" authorId="1" shapeId="0">
      <text>
        <t xml:space="preserve">ADMIN 2:
EXAMEN ACTIC MONTSERRAT LLOP </t>
      </text>
    </comment>
    <comment ref="AF29" authorId="1" shapeId="0">
      <text>
        <t>ADMIN 2:
PROVA ACCES OPEN SOURCE (+TALENT)15:00HRS.-</t>
      </text>
    </comment>
    <comment ref="AR38" authorId="0" shapeId="0">
      <text>
        <t>multi:
visita maria</t>
      </text>
    </comment>
    <comment ref="G39" authorId="1" shapeId="0">
      <text>
        <t xml:space="preserve">ADMIN 2:
EXAMEN ACTIC (EXTRADORDINARI)
A LES 16:30HRS. </t>
      </text>
    </comment>
    <comment ref="H39" authorId="1" shapeId="0">
      <text>
        <t xml:space="preserve">ADMIN 2:
EXAMEN ACTIC 10ª CONVOCATORIA A LES 17:00HRS. </t>
      </text>
    </comment>
    <comment ref="J40" authorId="0" shapeId="0">
      <text>
        <t>multi:
14:30-20:30 VAM FORMACIO</t>
      </text>
    </comment>
    <comment ref="H51" authorId="1" shapeId="0">
      <text>
        <t>ADMIN 2:
VAM FORMACIÓ:
15:30/19:30</t>
      </text>
    </comment>
    <comment ref="W58" authorId="1" shapeId="0">
      <text>
        <t xml:space="preserve">ADMIN 2:
masterclass make up Laura 10:00 a 12:00hrs. </t>
      </text>
    </comment>
    <comment ref="X59" authorId="1" shapeId="0">
      <text>
        <t>ADMIN 2:
16:30hrs examen actic</t>
      </text>
    </comment>
    <comment ref="X60" authorId="1" shapeId="0">
      <text>
        <t xml:space="preserve">ADMIN 2:
19:00 A 20:00HRS. </t>
      </text>
    </comment>
    <comment ref="R61" authorId="1" shapeId="0">
      <text>
        <t xml:space="preserve">ADMIN 2:
16:30HRS. </t>
      </text>
    </comment>
    <comment ref="S61" authorId="1" shapeId="0">
      <text>
        <t xml:space="preserve">ADMIN 2:
A LES 16:30HRS. </t>
      </text>
    </comment>
  </commentList>
</comments>
</file>

<file path=xl/comments/comment2.xml><?xml version="1.0" encoding="utf-8"?>
<comments xmlns="http://schemas.openxmlformats.org/spreadsheetml/2006/main">
  <authors>
    <author>tc={A292935C-1A2C-49F8-B359-B903C0D4B255}</author>
    <author>tc={C8C70246-162A-4919-AC02-0A034AB32FBE}</author>
    <author>tc={62F6D4BF-DBA3-4E46-9CC0-606A05DDFEBE}</author>
    <author>Secretaria - Multimèdia Formació</author>
    <author>multi</author>
    <author>Secretaria_Tarragona</author>
    <author>ADMIN 2</author>
  </authors>
  <commentList>
    <comment ref="T8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15:00/18:00 HRS</t>
      </text>
    </comment>
    <comment ref="V8" authorId="1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15:00/18:00</t>
      </text>
    </comment>
    <comment ref="W8" authorId="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15:00/18:00</t>
      </text>
    </comment>
    <comment ref="E14" authorId="3" shapeId="0">
      <text>
        <t>Secretaria - Multimèdia Formació:
Conferencia Manuel, de 19h a 20h</t>
      </text>
    </comment>
    <comment ref="AE20" authorId="4" shapeId="0">
      <text>
        <t xml:space="preserve">multi:
REPARTIR ENTRE 9 DIES
</t>
      </text>
    </comment>
    <comment ref="J21" authorId="4" shapeId="0">
      <text>
        <t xml:space="preserve">multi:
INICIAR CLASE
</t>
      </text>
    </comment>
    <comment ref="AF24" authorId="4" shapeId="0">
      <text>
        <t xml:space="preserve">multi:
TREBALL TRANSFE
</t>
      </text>
    </comment>
    <comment ref="W35" authorId="5" shapeId="0">
      <text>
        <t xml:space="preserve">Secretaria_Tarragona:
DE 9:00 a 12:00 </t>
      </text>
    </comment>
    <comment ref="AB35" authorId="5" shapeId="0">
      <text>
        <t xml:space="preserve">Secretaria_Tarragona:
DE 9:00 a 12:00 </t>
      </text>
    </comment>
    <comment ref="AH35" authorId="5" shapeId="0">
      <text>
        <t>Secretaria_Tarragona:
de 9:00 a 12:30hrs.</t>
      </text>
    </comment>
    <comment ref="AI35" authorId="5" shapeId="0">
      <text>
        <t>Secretaria_Tarragona:
De 9:00 a 12:30hrs.</t>
      </text>
    </comment>
    <comment ref="Z36" authorId="3" shapeId="0">
      <text>
        <t xml:space="preserve">Secretaria - Multimèdia Formació:
DAVID CASANOVA: ARREGLOS ELÈCTRIC
</t>
      </text>
    </comment>
    <comment ref="N39" authorId="3" shapeId="0">
      <text>
        <t>Secretaria - Multimèdia Formació:
EXÀMEN acTIC</t>
      </text>
    </comment>
    <comment ref="P39" authorId="3" shapeId="0">
      <text>
        <t xml:space="preserve">Secretaria - Multimèdia Formació:
EXÀMEN acTIC
</t>
      </text>
    </comment>
    <comment ref="F43" authorId="5" shapeId="0">
      <text>
        <t>Secretaria_Tarragona:
9:00 a 12:00 hrs.</t>
      </text>
    </comment>
    <comment ref="K44" authorId="3" shapeId="0">
      <text>
        <t>Secretaria - Multimèdia Formació:
16:00 a 20:00 hrs.
EXÀMEN acTIC 12a ed.</t>
      </text>
    </comment>
    <comment ref="P44" authorId="3" shapeId="0">
      <text>
        <t xml:space="preserve">Secretaria - Multimèdia Formació:
16:00 a 20:00 hrs.
EXÀMEN acTIC 12a ed. (EDUARD MARROQUI)
</t>
      </text>
    </comment>
    <comment ref="I45" authorId="5" shapeId="0">
      <text>
        <t>Secretaria_Tarragona:
16:00 a 20:00 hrs.</t>
      </text>
    </comment>
    <comment ref="AI50" authorId="4" shapeId="0">
      <text>
        <t>multi:
tot i que es festa hi consta</t>
      </text>
    </comment>
    <comment ref="K67" authorId="5" shapeId="0">
      <text>
        <t>Secretaria_Tarragona:
de 15:00 a 19:00hrs.</t>
      </text>
    </comment>
    <comment ref="AR72" authorId="4" shapeId="0">
      <text>
        <t>multi:
visita maria</t>
      </text>
    </comment>
    <comment ref="M74" authorId="3" shapeId="0">
      <text>
        <t xml:space="preserve">Secretaria - Multimèdia Formació:
VAM de 16:00-20:00 
</t>
      </text>
    </comment>
    <comment ref="G79" authorId="3" shapeId="0">
      <text>
        <t xml:space="preserve">Secretaria - Multimèdia Formació:
ANA ROSA FDEZ RGUEZ 10:00H EXAMEN ACTIC AVANÇAT
</t>
      </text>
    </comment>
    <comment ref="X79" authorId="3" shapeId="0">
      <text>
        <t xml:space="preserve">Secretaria - Multimèdia Formació:ACTIC examen grup Pere tardes a les 10:00h
</t>
      </text>
    </comment>
    <comment ref="AB82" authorId="3" shapeId="0">
      <text>
        <t xml:space="preserve">Secretaria - Multimèdia Formació:
examen grup mati a les 9:00h
</t>
      </text>
    </comment>
    <comment ref="AF82" authorId="3" shapeId="0">
      <text>
        <t xml:space="preserve">Secretaria - Multimèdia Formació:
Curs 5hores
</t>
      </text>
    </comment>
    <comment ref="H87" authorId="6" shapeId="0">
      <text>
        <t xml:space="preserve">ADMIN 2:
David Escarre
Remei Sanchez
10 h 
</t>
      </text>
    </comment>
    <comment ref="P87" authorId="6" shapeId="0">
      <text>
        <t xml:space="preserve">ADMIN 2:
10 h 
</t>
      </text>
    </comment>
    <comment ref="O89" authorId="6" shapeId="0">
      <text>
        <t>ADMIN 2:
PERE</t>
      </text>
    </comment>
  </commentList>
</comments>
</file>

<file path=xl/comments/comment3.xml><?xml version="1.0" encoding="utf-8"?>
<comments xmlns="http://schemas.openxmlformats.org/spreadsheetml/2006/main">
  <authors>
    <author>ADMIN 5</author>
    <author>MULTIMÈDIA TARRAGONA</author>
    <author>multi</author>
    <author>Admin - Multimèdia Tarragona</author>
    <author>tc={E2009245-7285-4787-9ED1-5135E7C70D84}</author>
    <author>EQUIPO</author>
    <author>tc={0EEBEAF9-8A83-4C94-91C5-A41E6505BCA4}</author>
    <author>ADMIN 2</author>
    <author>tc={8B87D4A2-B837-4B63-B38F-0649054120CF}</author>
    <author>tc={BAC1449B-5D90-4D7F-89F9-229EAF685049}</author>
    <author>Equip 2</author>
  </authors>
  <commentList>
    <comment ref="M4" authorId="0" shapeId="0">
      <text>
        <t xml:space="preserve">ADMIN 5:
prova acces
</t>
      </text>
    </comment>
    <comment ref="AF4" authorId="1" shapeId="0">
      <text>
        <t>MULTIMÈDIA TARRAGONA:
comença a les 14:00</t>
      </text>
    </comment>
    <comment ref="AK5" authorId="2" shapeId="0">
      <text>
        <t xml:space="preserve">multi:
9 DIES
</t>
      </text>
    </comment>
    <comment ref="AN5" authorId="2" shapeId="0">
      <text>
        <t>multi:
PROGRAMAR UN EXAMEN ACTIC SI S'ESCAU - BÀSIC</t>
      </text>
    </comment>
    <comment ref="AB7" authorId="3" shapeId="0">
      <text>
        <t>Admin - Multimèdia Tarragona:
16-20h</t>
      </text>
    </comment>
    <comment ref="AH7" authorId="4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FORMACIO PRACTICA-REUS</t>
      </text>
    </comment>
    <comment ref="X11" authorId="0" shapeId="0">
      <text>
        <t>ADMIN 5:
sortida radio</t>
      </text>
    </comment>
    <comment ref="O12" authorId="1" shapeId="0">
      <text>
        <t xml:space="preserve">MULTIMÈDIA TARRAGONA:
Comença a les 9:00
</t>
      </text>
    </comment>
    <comment ref="W12" authorId="2" shapeId="0">
      <text>
        <t xml:space="preserve">multi:
UF0349 ACABA A LES 10:00
10:00 COMENÇA FCO03
</t>
      </text>
    </comment>
    <comment ref="Y12" authorId="5" shapeId="0">
      <text>
        <t>EQUIPO:
UF0350 comença08:30
h</t>
      </text>
    </comment>
    <comment ref="V13" authorId="3" shapeId="0">
      <text>
        <t xml:space="preserve">Admin - Multimèdia Tarragona:
8:30 14:30
</t>
      </text>
    </comment>
    <comment ref="D15" authorId="6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FORMACIO PRACTICA-REUS</t>
      </text>
    </comment>
    <comment ref="R16" authorId="2" shapeId="0">
      <text>
        <t>multi:
EXCEL - INTERMEDI</t>
      </text>
    </comment>
    <comment ref="H17" authorId="7" shapeId="0">
      <text>
        <t xml:space="preserve">ADMIN 2:
A LES 16H
CURS FCOI25 CONSORCI PERE GENER
</t>
      </text>
    </comment>
    <comment ref="O19" authorId="2" shapeId="0">
      <text>
        <t>multi:
visita empresa i ocupacio</t>
      </text>
    </comment>
    <comment ref="Q19" authorId="2" shapeId="0">
      <text>
        <t>multi:
visita 112</t>
      </text>
    </comment>
    <comment ref="N20" authorId="2" shapeId="0">
      <text>
        <t xml:space="preserve">multi:
COMENÇA A LES 10:30
</t>
      </text>
    </comment>
    <comment ref="V20" authorId="2" shapeId="0">
      <text>
        <t xml:space="preserve">multi:
fins 11:30
orientacio inici 11:30 fins 13:30
</t>
      </text>
    </comment>
    <comment ref="R21" authorId="7" shapeId="0">
      <text>
        <t>ADMIN 2:
de 8:30 a 14:30</t>
      </text>
    </comment>
    <comment ref="U21" authorId="7" shapeId="0">
      <text>
        <t>ADMIN 2:
de 8:30 a 14:30</t>
      </text>
    </comment>
    <comment ref="G24" authorId="2" shapeId="0">
      <text>
        <t xml:space="preserve">multi:
TEAMS I OUTLOOK
</t>
      </text>
    </comment>
    <comment ref="AB24" authorId="2" shapeId="0">
      <text>
        <t xml:space="preserve">multi:
SHAREPOINT
</t>
      </text>
    </comment>
    <comment ref="AQ24" authorId="2" shapeId="0">
      <text>
        <t>multi:
4 DIES DE 9-13:30
1 DIA DE 9-14</t>
      </text>
    </comment>
    <comment ref="K27" authorId="2" shapeId="0">
      <text>
        <t>multi:
AUDITORIA ISO</t>
      </text>
    </comment>
    <comment ref="N28" authorId="1" shapeId="0">
      <text>
        <t>MULTIMÈDIA TARRAGONA:
6,75 HORES comença a les 09:15 dia 11</t>
      </text>
    </comment>
    <comment ref="U29" authorId="2" shapeId="0">
      <text>
        <t>multi:
11:30 inicia MF0344</t>
      </text>
    </comment>
    <comment ref="AK29" authorId="2" shapeId="0">
      <text>
        <t>multi:
6 DIES X6 HORES H+ 1 DIA  HORES RESTA</t>
      </text>
    </comment>
    <comment ref="M30" authorId="7" shapeId="0">
      <text>
        <t xml:space="preserve">ADMIN 2:
de 16h a 20h
</t>
      </text>
    </comment>
    <comment ref="H31" authorId="7" shapeId="0">
      <text>
        <t>ADMIN 2:
DE 18H A 20H</t>
      </text>
    </comment>
    <comment ref="AB31" authorId="7" shapeId="0">
      <text>
        <t>ADMIN 2:
Ex. acTIC 16 H
PERE
FCOI11 (SUSANA)</t>
      </text>
    </comment>
    <comment ref="R32" authorId="2" shapeId="0">
      <text>
        <t xml:space="preserve">multi:
ONE DRIVE
</t>
      </text>
    </comment>
    <comment ref="Y32" authorId="2" shapeId="0">
      <text>
        <t>multi:
ONE NOTE</t>
      </text>
    </comment>
    <comment ref="I37" authorId="2" shapeId="0">
      <text>
        <t>multi:
11:00 INICIA MF0345</t>
      </text>
    </comment>
    <comment ref="AE37" authorId="2" shapeId="0">
      <text>
        <t>multi:
13H INICI MF0346</t>
      </text>
    </comment>
    <comment ref="AF38" authorId="8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FORMACIO PRACTICA-REUS</t>
      </text>
    </comment>
    <comment ref="AG38" authorId="9" shapeId="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FORMACIO PRACTICA - REUS </t>
      </text>
    </comment>
    <comment ref="AD39" authorId="7" shapeId="0">
      <text>
        <t>ADMIN 2:
de 15h a 20h</t>
      </text>
    </comment>
    <comment ref="AE39" authorId="7" shapeId="0">
      <text>
        <t>ADMIN 2:
de 15h a 20h</t>
      </text>
    </comment>
    <comment ref="W40" authorId="2" shapeId="0">
      <text>
        <t xml:space="preserve">multi:
ACCÈS BBDD
</t>
      </text>
    </comment>
    <comment ref="Z41" authorId="7" shapeId="0">
      <text>
        <t xml:space="preserve">ADMIN 2:
Ex. acTIC curs Pere 
16:30h
</t>
      </text>
    </comment>
    <comment ref="AJ44" authorId="2" shapeId="0">
      <text>
        <t xml:space="preserve">multi:
dia 9/01  prova acces +
2 HORES DIA 21/6
</t>
      </text>
    </comment>
    <comment ref="O45" authorId="2" shapeId="0">
      <text>
        <t xml:space="preserve">multi:
12:30 A 13:30 JORNADA ORIENTACIÓ
</t>
      </text>
    </comment>
    <comment ref="F47" authorId="7" shapeId="0">
      <text>
        <t>ADMIN 2:
de 15h a 20h</t>
      </text>
    </comment>
    <comment ref="N47" authorId="7" shapeId="0">
      <text>
        <t>ADMIN 2:
de 15h a 20h</t>
      </text>
    </comment>
    <comment ref="P47" authorId="7" shapeId="0">
      <text>
        <t xml:space="preserve">ADMIN 2:
de 15h a 20h </t>
      </text>
    </comment>
    <comment ref="AQ47" authorId="7" shapeId="0">
      <text>
        <t xml:space="preserve">ADMIN 2:
De 15h a 20h
</t>
      </text>
    </comment>
    <comment ref="AS47" authorId="7" shapeId="0">
      <text>
        <t>ADMIN 2:
de 15h a 20h</t>
      </text>
    </comment>
    <comment ref="AC49" authorId="10" shapeId="0">
      <text>
        <t>Equip 2:
EXAMEN ACTIC 16:30HRS. EAPC</t>
      </text>
    </comment>
    <comment ref="S53" authorId="10" shapeId="0">
      <text>
        <t>Equip 2:
VAM 9:00 A 15:00HRS (SERÀ EN AULA FIREFOX)</t>
      </text>
    </comment>
    <comment ref="U53" authorId="10" shapeId="0">
      <text>
        <t>Equip 2:
VAM 9:00 A 15:00HRS SERÀ EN AULA FIREFOX</t>
      </text>
    </comment>
    <comment ref="E60" authorId="2" shapeId="0">
      <text>
        <t>multi:
DE 13 A 14JORNADA ORIENTACIO</t>
      </text>
    </comment>
  </commentList>
</comments>
</file>

<file path=xl/comments/comment4.xml><?xml version="1.0" encoding="utf-8"?>
<comments xmlns="http://schemas.openxmlformats.org/spreadsheetml/2006/main">
  <authors>
    <author>ADMIN 5</author>
    <author>MULTIMÈDIA TARRAGONA</author>
    <author>multi</author>
    <author>Admin - Multimèdia Tarragona</author>
    <author>tc={C3461916-C31C-48C7-A260-C0E89EE1AB61}</author>
    <author>EQUIPO</author>
    <author>tc={396167BB-0AFF-451A-BE20-638A0BB2B363}</author>
    <author>ADMIN 2</author>
    <author>tc={1D503FC5-6DBF-4512-B6B3-E21EECAC9EE9}</author>
    <author>tc={FC866FC8-3FCC-4939-9A7E-A859F341FE36}</author>
    <author>tc={7C4C1201-F910-4940-B4BF-1B752F4F849B}</author>
    <author>tc={E02387DC-B295-4CDB-AF97-735896D28F8C}</author>
    <author>tc={42EACC82-D1A1-45DF-ABEA-46C7F2663814}</author>
    <author>tc={E1474715-F845-47C2-9DA0-CF49D6FEBCA2}</author>
  </authors>
  <commentList>
    <comment ref="N4" authorId="0" shapeId="0">
      <text>
        <t xml:space="preserve">ADMIN 5:
prova acces
</t>
      </text>
    </comment>
    <comment ref="AG4" authorId="1" shapeId="0">
      <text>
        <t>MULTIMÈDIA TARRAGONA:
comença a les 14:00</t>
      </text>
    </comment>
    <comment ref="AL5" authorId="2" shapeId="0">
      <text>
        <t xml:space="preserve">multi:
9 DIES
</t>
      </text>
    </comment>
    <comment ref="AO5" authorId="2" shapeId="0">
      <text>
        <t>multi:
PROGRAMAR UN EXAMEN ACTIC SI S'ESCAU - BÀSIC</t>
      </text>
    </comment>
    <comment ref="AC7" authorId="3" shapeId="0">
      <text>
        <t>Admin - Multimèdia Tarragona:
16-20h</t>
      </text>
    </comment>
    <comment ref="AI7" authorId="4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FORMACIO PRACTICA-REUS</t>
      </text>
    </comment>
    <comment ref="Y11" authorId="0" shapeId="0">
      <text>
        <t>ADMIN 5:
sortida radio</t>
      </text>
    </comment>
    <comment ref="P12" authorId="1" shapeId="0">
      <text>
        <t xml:space="preserve">MULTIMÈDIA TARRAGONA:
Comença a les 9:00
</t>
      </text>
    </comment>
    <comment ref="X12" authorId="5" shapeId="0">
      <text>
        <t>EQUIPO:
UF0350 comença 10:00 h</t>
      </text>
    </comment>
    <comment ref="W13" authorId="3" shapeId="0">
      <text>
        <t xml:space="preserve">Admin - Multimèdia Tarragona:
8:30 14:30
</t>
      </text>
    </comment>
    <comment ref="E15" authorId="6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FORMACIO PRACTICA-REUS</t>
      </text>
    </comment>
    <comment ref="S16" authorId="2" shapeId="0">
      <text>
        <t>multi:
EXCEL - INTERMEDI</t>
      </text>
    </comment>
    <comment ref="I17" authorId="7" shapeId="0">
      <text>
        <t xml:space="preserve">ADMIN 2:
A LES 16H
CURS FCOI25 CONSORCI PERE GENER
</t>
      </text>
    </comment>
    <comment ref="K20" authorId="2" shapeId="0">
      <text>
        <t xml:space="preserve">multi:
COMENÇA A LES 12:
</t>
      </text>
    </comment>
    <comment ref="S20" authorId="2" shapeId="0">
      <text>
        <t xml:space="preserve">multi:
13-14 ORIENTACIO
</t>
      </text>
    </comment>
    <comment ref="S21" authorId="7" shapeId="0">
      <text>
        <t>ADMIN 2:
de 8:30 a 14:30</t>
      </text>
    </comment>
    <comment ref="V21" authorId="7" shapeId="0">
      <text>
        <t>ADMIN 2:
de 8:30 a 14:30</t>
      </text>
    </comment>
    <comment ref="AK22" authorId="2" shapeId="0">
      <text>
        <t xml:space="preserve">multi:
DIES TOTALS
</t>
      </text>
    </comment>
    <comment ref="H24" authorId="2" shapeId="0">
      <text>
        <t xml:space="preserve">multi:
TEAMS I OUTLOOK
</t>
      </text>
    </comment>
    <comment ref="AC24" authorId="2" shapeId="0">
      <text>
        <t xml:space="preserve">multi:
SHAREPOINT
</t>
      </text>
    </comment>
    <comment ref="AV24" authorId="2" shapeId="0">
      <text>
        <t>multi:
4 DIES DE 9-13:30
1 DIA DE 9-14</t>
      </text>
    </comment>
    <comment ref="AQ28" authorId="2" shapeId="0">
      <text>
        <t>multi:
6 DIES X6 HORES H+ 1 DIA  HORES RESTA</t>
      </text>
    </comment>
    <comment ref="N30" authorId="7" shapeId="0">
      <text>
        <t xml:space="preserve">ADMIN 2:
de 16h a 20h
</t>
      </text>
    </comment>
    <comment ref="L32" authorId="2" shapeId="0">
      <text>
        <t xml:space="preserve">multi:
ONE DRIVE
</t>
      </text>
    </comment>
    <comment ref="Z32" authorId="2" shapeId="0">
      <text>
        <t>multi:
ONE NOTE</t>
      </text>
    </comment>
    <comment ref="AF36" authorId="2" shapeId="0">
      <text>
        <t xml:space="preserve">multi:
COMENÇA 10:30
</t>
      </text>
    </comment>
    <comment ref="J38" authorId="7" shapeId="0">
      <text>
        <t>ADMIN 2:
de 15h a 20h</t>
      </text>
    </comment>
    <comment ref="N38" authorId="7" shapeId="0">
      <text>
        <t xml:space="preserve">ADMIN 2:
de 15h a 20h </t>
      </text>
    </comment>
    <comment ref="L39" authorId="8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FORMACIO PRACTICA-REUS</t>
      </text>
    </comment>
    <comment ref="M39" authorId="9" shapeId="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FORMACIO PRACTICA - REUS </t>
      </text>
    </comment>
    <comment ref="Z39" authorId="7" shapeId="0">
      <text>
        <t>ADMIN 2:
de 15h a 20h</t>
      </text>
    </comment>
    <comment ref="AE39" authorId="7" shapeId="0">
      <text>
        <t>ADMIN 2:
de 15h a 20h</t>
      </text>
    </comment>
    <comment ref="AF39" authorId="7" shapeId="0">
      <text>
        <t>ADMIN 2:
de 15h a 20h</t>
      </text>
    </comment>
    <comment ref="X40" authorId="2" shapeId="0">
      <text>
        <t xml:space="preserve">multi:
ACCÈS BBDD
</t>
      </text>
    </comment>
    <comment ref="K44" authorId="5" shapeId="0">
      <text>
        <t>EQUIPO:
UF0323 comença 12:30 h</t>
      </text>
    </comment>
    <comment ref="R44" authorId="2" shapeId="0">
      <text>
        <t>multi:
ACABA 12:30</t>
      </text>
    </comment>
    <comment ref="AK44" authorId="2" shapeId="0">
      <text>
        <t xml:space="preserve">multi:
dia 9/01  prova acces +
2 HORES DIA 21/6
</t>
      </text>
    </comment>
    <comment ref="AQ45" authorId="2" shapeId="0">
      <text>
        <t xml:space="preserve">només es fan 10 h - INSERCIÓ
</t>
      </text>
    </comment>
    <comment ref="I47" authorId="1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FORMACIO PRACTICA-REUS</t>
      </text>
    </comment>
    <comment ref="J47" authorId="11" shapeId="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FORMACIO PRACTICA - REUS </t>
      </text>
    </comment>
    <comment ref="V71" authorId="1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PRACTIQUES - REUS</t>
      </text>
    </comment>
    <comment ref="W71" authorId="13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PRACTIQUES REUS</t>
      </text>
    </comment>
    <comment ref="T72" authorId="2" shapeId="0">
      <text>
        <t xml:space="preserve">multi:
ACTIC INTERMEDI
</t>
      </text>
    </comment>
    <comment ref="U79" authorId="7" shapeId="0">
      <text>
        <t xml:space="preserve">ADMIN 2:
de 16h a 20h
</t>
      </text>
    </comment>
    <comment ref="E80" authorId="2" shapeId="0">
      <text>
        <t>multi:
EXCEL AVANÇAT</t>
      </text>
    </comment>
    <comment ref="R80" authorId="2" shapeId="0">
      <text>
        <t xml:space="preserve">multi:
POWER BI
</t>
      </text>
    </comment>
    <comment ref="AL80" authorId="2" shapeId="0">
      <text>
        <t>multi:
RAFA??</t>
      </text>
    </comment>
    <comment ref="AQ80" authorId="2" shapeId="0">
      <text>
        <t>multi:
AYALA PENDENT CONFIRMA @28/11</t>
      </text>
    </comment>
    <comment ref="AV80" authorId="2" shapeId="0">
      <text>
        <t>multi:
PERE</t>
      </text>
    </comment>
    <comment ref="H88" authorId="2" shapeId="0">
      <text>
        <t xml:space="preserve">multi:
ACTIC AVANÇAT
</t>
      </text>
    </comment>
    <comment ref="AC88" authorId="2" shapeId="0">
      <text>
        <t xml:space="preserve">multi:
PLANNER
</t>
      </text>
    </comment>
  </commentList>
</comments>
</file>

<file path=xl/comments/comment5.xml><?xml version="1.0" encoding="utf-8"?>
<comments xmlns="http://schemas.openxmlformats.org/spreadsheetml/2006/main">
  <authors>
    <author>multi</author>
    <author>ADMIN 2</author>
    <author>tc={0E2514DD-83EC-45E5-88AD-E29E41552A6E}</author>
    <author>tc={CFD06553-D8E8-46E2-8FFB-C9819C321342}</author>
    <author>tc={9DC33E67-2930-45E4-AC3C-00E603D0613C}</author>
    <author>tc={708B69C9-E841-42CB-94F4-C500AFDF05A9}</author>
    <author>tc={25E8FBE1-466D-49A6-ABC9-54E31D1324ED}</author>
    <author>tc={84A74875-0827-4C69-A743-C3D22A91EF11}</author>
    <author>tc={1881F26F-71EE-4437-8F02-5B4352EA0554}</author>
    <author>tc={A455C837-569A-4E1A-8F7F-7397D90E1812}</author>
  </authors>
  <commentList>
    <comment ref="AL5" authorId="0" shapeId="0">
      <text>
        <t xml:space="preserve">multi:
9 DIES
</t>
      </text>
    </comment>
    <comment ref="AO5" authorId="0" shapeId="0">
      <text>
        <t>multi:
PROGRAMAR UN EXAMEN ACTIC SI S'ESCAU - BÀSIC</t>
      </text>
    </comment>
    <comment ref="AA7" authorId="1" shapeId="0">
      <text>
        <t>ADMIN 2:
OPCION CAMBIO PRIMERS AUX.</t>
      </text>
    </comment>
    <comment ref="AC7" authorId="1" shapeId="0">
      <text>
        <t>ADMIN 2:
de 16h a 20h</t>
      </text>
    </comment>
    <comment ref="AI7" authorId="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FORMACIO PRACTICA-REUS</t>
      </text>
    </comment>
    <comment ref="W13" authorId="1" shapeId="0">
      <text>
        <t xml:space="preserve">ADMIN 2:
de 8:30 a 14:30 </t>
      </text>
    </comment>
    <comment ref="E15" authorId="3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FORMACIO PRACTICA-REUS</t>
      </text>
    </comment>
    <comment ref="J15" authorId="1" shapeId="0">
      <text>
        <t>ADMIN 2:
OPCION CAMBIO PRIMERS AUX.</t>
      </text>
    </comment>
    <comment ref="AE15" authorId="1" shapeId="0">
      <text>
        <t>ADMIN 2:
OPCION CAMBIO PRIMERS AUX.</t>
      </text>
    </comment>
    <comment ref="S16" authorId="0" shapeId="0">
      <text>
        <t>multi:
EXCEL - INTERMEDI</t>
      </text>
    </comment>
    <comment ref="S21" authorId="1" shapeId="0">
      <text>
        <t>ADMIN 2:
de 8:30 a 14:30</t>
      </text>
    </comment>
    <comment ref="V21" authorId="1" shapeId="0">
      <text>
        <t>ADMIN 2:
de 8:30 a 14:30</t>
      </text>
    </comment>
    <comment ref="K22" authorId="0" shapeId="0">
      <text>
        <t xml:space="preserve">multi:
6H/PRL
</t>
      </text>
    </comment>
    <comment ref="AK22" authorId="0" shapeId="0">
      <text>
        <t xml:space="preserve">multi:
DIES TOTALS
</t>
      </text>
    </comment>
    <comment ref="H24" authorId="0" shapeId="0">
      <text>
        <t xml:space="preserve">multi:
TEAMS I OUTLOOK
</t>
      </text>
    </comment>
    <comment ref="AC24" authorId="0" shapeId="0">
      <text>
        <t xml:space="preserve">multi:
SHAREPOINT
</t>
      </text>
    </comment>
    <comment ref="AQ28" authorId="0" shapeId="0">
      <text>
        <t>multi:
6 DIES X6 HORES H+ 1 DIA  HORES RESTA</t>
      </text>
    </comment>
    <comment ref="N30" authorId="1" shapeId="0">
      <text>
        <t xml:space="preserve">ADMIN 2:
de 16h a 20h
</t>
      </text>
    </comment>
    <comment ref="L32" authorId="0" shapeId="0">
      <text>
        <t xml:space="preserve">multi:
ONE DRIVE
</t>
      </text>
    </comment>
    <comment ref="Z32" authorId="0" shapeId="0">
      <text>
        <t>multi:
ONE NOTE</t>
      </text>
    </comment>
    <comment ref="J38" authorId="1" shapeId="0">
      <text>
        <t>ADMIN 2:
de 15h a 20h</t>
      </text>
    </comment>
    <comment ref="N38" authorId="1" shapeId="0">
      <text>
        <t xml:space="preserve">ADMIN 2:
de 15h a 20h </t>
      </text>
    </comment>
    <comment ref="L39" authorId="4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FORMACIO PRACTICA-REUS</t>
      </text>
    </comment>
    <comment ref="M39" authorId="5" shapeId="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FORMACIO PRACTICA - REUS </t>
      </text>
    </comment>
    <comment ref="Z39" authorId="1" shapeId="0">
      <text>
        <t>ADMIN 2:
de 15h a 20h</t>
      </text>
    </comment>
    <comment ref="AE39" authorId="1" shapeId="0">
      <text>
        <t>ADMIN 2:
de 15h a 20h</t>
      </text>
    </comment>
    <comment ref="AF39" authorId="1" shapeId="0">
      <text>
        <t>ADMIN 2:
de 15h a 20h</t>
      </text>
    </comment>
    <comment ref="X40" authorId="0" shapeId="0">
      <text>
        <t xml:space="preserve">multi:
ACCÈS BBDD
</t>
      </text>
    </comment>
    <comment ref="AQ45" authorId="0" shapeId="0">
      <text>
        <t xml:space="preserve">només es fan 10 h - INSERCIÓ
</t>
      </text>
    </comment>
    <comment ref="I47" authorId="6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FORMACIO PRACTICA-REUS</t>
      </text>
    </comment>
    <comment ref="J47" authorId="7" shapeId="0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FORMACIO PRACTICA - REUS </t>
      </text>
    </comment>
    <comment ref="V71" authorId="8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PRACTIQUES - REUS</t>
      </text>
    </comment>
    <comment ref="W71" authorId="9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PRACTIQUES REUS</t>
      </text>
    </comment>
    <comment ref="T72" authorId="0" shapeId="0">
      <text>
        <t xml:space="preserve">multi:
ACTIC INTERMEDI
</t>
      </text>
    </comment>
    <comment ref="U79" authorId="1" shapeId="0">
      <text>
        <t xml:space="preserve">ADMIN 2:
de 16h a 20h
</t>
      </text>
    </comment>
    <comment ref="E80" authorId="0" shapeId="0">
      <text>
        <t>multi:
EXCEL AVANÇAT</t>
      </text>
    </comment>
    <comment ref="R80" authorId="0" shapeId="0">
      <text>
        <t xml:space="preserve">multi:
POWER BI
</t>
      </text>
    </comment>
    <comment ref="AL80" authorId="0" shapeId="0">
      <text>
        <t>multi:
RAFA??</t>
      </text>
    </comment>
    <comment ref="AQ80" authorId="0" shapeId="0">
      <text>
        <t>multi:
AYALA PENDENT CONFIRMA @28/11</t>
      </text>
    </comment>
    <comment ref="AV80" authorId="0" shapeId="0">
      <text>
        <t>multi:
PERE</t>
      </text>
    </comment>
    <comment ref="AP85" authorId="0" shapeId="0">
      <text>
        <t xml:space="preserve">només es fan 10 h - INSERCIÓ
</t>
      </text>
    </comment>
    <comment ref="H88" authorId="0" shapeId="0">
      <text>
        <t xml:space="preserve">multi:
ACTIC AVANÇAT
</t>
      </text>
    </comment>
    <comment ref="AC88" authorId="0" shapeId="0">
      <text>
        <t xml:space="preserve">multi:
PLANNER
</t>
      </text>
    </comment>
  </commentList>
</comments>
</file>

<file path=xl/drawings/shapes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68</xdr:row>
      <xdr:rowOff>19050</xdr:rowOff>
    </xdr:from>
    <xdr:to>
      <xdr:col>6</xdr:col>
      <xdr:colOff>259163</xdr:colOff>
      <xdr:row>69</xdr:row>
      <xdr:rowOff>0</xdr:rowOff>
    </xdr:to>
    <xdr:sp macro="" textlink="">
      <xdr:nvSpPr>
        <xdr:cNvPr id="2" name="Triángulo rectángulo 1">
          <a:extLst>
            <a:ext uri="{FF2B5EF4-FFF2-40B4-BE49-F238E27FC236}">
              <a16:creationId xmlns:a16="http://schemas.microsoft.com/office/drawing/2014/main" id="{815A1535-B9EA-AD1B-C1B5-135016F63B1F}"/>
            </a:ext>
            <a:ext uri="{147F2762-F138-4A5C-976F-8EAC2B608ADB}">
              <a16:predDERef xmlns:a16="http://schemas.microsoft.com/office/drawing/2014/main" pred="{E51473B0-4D7B-41C5-BC7B-3DF1A0AAAA83}"/>
            </a:ext>
          </a:extLst>
        </xdr:cNvPr>
        <xdr:cNvSpPr/>
      </xdr:nvSpPr>
      <xdr:spPr>
        <a:xfrm>
          <a:off x="3981450" y="29841825"/>
          <a:ext cx="240113" cy="133350"/>
        </a:xfrm>
        <a:prstGeom prst="rtTriangl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a-ES" sz="1100" kern="1200"/>
        </a:p>
      </xdr:txBody>
    </xdr:sp>
    <xdr:clientData/>
  </xdr:twoCellAnchor>
  <xdr:twoCellAnchor>
    <xdr:from>
      <xdr:col>30</xdr:col>
      <xdr:colOff>9525</xdr:colOff>
      <xdr:row>104</xdr:row>
      <xdr:rowOff>28575</xdr:rowOff>
    </xdr:from>
    <xdr:to>
      <xdr:col>30</xdr:col>
      <xdr:colOff>342900</xdr:colOff>
      <xdr:row>104</xdr:row>
      <xdr:rowOff>200025</xdr:rowOff>
    </xdr:to>
    <xdr:sp macro="" textlink="">
      <xdr:nvSpPr>
        <xdr:cNvPr id="5" name="Triángulo rectángulo 2">
          <a:extLst>
            <a:ext uri="{FF2B5EF4-FFF2-40B4-BE49-F238E27FC236}">
              <a16:creationId xmlns:a16="http://schemas.microsoft.com/office/drawing/2014/main" id="{A3E9302A-1061-7597-62C7-6FF5078D78C6}"/>
            </a:ext>
          </a:extLst>
        </xdr:cNvPr>
        <xdr:cNvSpPr/>
      </xdr:nvSpPr>
      <xdr:spPr>
        <a:xfrm>
          <a:off x="13554075" y="11010900"/>
          <a:ext cx="333375" cy="171450"/>
        </a:xfrm>
        <a:prstGeom prst="rt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a-ES" sz="1100"/>
        </a:p>
      </xdr:txBody>
    </xdr:sp>
    <xdr:clientData/>
  </xdr:twoCellAnchor>
  <xdr:twoCellAnchor>
    <xdr:from>
      <xdr:col>8</xdr:col>
      <xdr:colOff>9525</xdr:colOff>
      <xdr:row>115</xdr:row>
      <xdr:rowOff>247649</xdr:rowOff>
    </xdr:from>
    <xdr:to>
      <xdr:col>9</xdr:col>
      <xdr:colOff>0</xdr:colOff>
      <xdr:row>116</xdr:row>
      <xdr:rowOff>200024</xdr:rowOff>
    </xdr:to>
    <xdr:sp macro="" textlink="">
      <xdr:nvSpPr>
        <xdr:cNvPr id="9" name="Triángulo rectángulo 3">
          <a:extLst>
            <a:ext uri="{FF2B5EF4-FFF2-40B4-BE49-F238E27FC236}">
              <a16:creationId xmlns:a16="http://schemas.microsoft.com/office/drawing/2014/main" id="{08F1C297-1FA8-C4DD-5EE6-5A2EC54D27D6}"/>
            </a:ext>
          </a:extLst>
        </xdr:cNvPr>
        <xdr:cNvSpPr/>
      </xdr:nvSpPr>
      <xdr:spPr>
        <a:xfrm>
          <a:off x="4752975" y="14306549"/>
          <a:ext cx="390525" cy="200025"/>
        </a:xfrm>
        <a:prstGeom prst="rtTriangle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a-ES" sz="1100"/>
        </a:p>
      </xdr:txBody>
    </xdr:sp>
    <xdr:clientData/>
  </xdr:twoCellAnchor>
  <xdr:twoCellAnchor>
    <xdr:from>
      <xdr:col>15</xdr:col>
      <xdr:colOff>9525</xdr:colOff>
      <xdr:row>115</xdr:row>
      <xdr:rowOff>247649</xdr:rowOff>
    </xdr:from>
    <xdr:to>
      <xdr:col>16</xdr:col>
      <xdr:colOff>19050</xdr:colOff>
      <xdr:row>116</xdr:row>
      <xdr:rowOff>200024</xdr:rowOff>
    </xdr:to>
    <xdr:sp macro="" textlink="">
      <xdr:nvSpPr>
        <xdr:cNvPr id="12" name="Triángulo rectángulo 4">
          <a:extLst>
            <a:ext uri="{FF2B5EF4-FFF2-40B4-BE49-F238E27FC236}">
              <a16:creationId xmlns:a16="http://schemas.microsoft.com/office/drawing/2014/main" id="{D4019F3F-9970-41D1-3339-1E8DAAA7220E}"/>
            </a:ext>
          </a:extLst>
        </xdr:cNvPr>
        <xdr:cNvSpPr/>
      </xdr:nvSpPr>
      <xdr:spPr>
        <a:xfrm>
          <a:off x="7553325" y="14306549"/>
          <a:ext cx="409575" cy="200025"/>
        </a:xfrm>
        <a:prstGeom prst="rtTriangle">
          <a:avLst/>
        </a:prstGeom>
        <a:solidFill>
          <a:srgbClr val="30F3F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a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Relationship Id="rIdShapes1" Type="http://schemas.openxmlformats.org/officeDocument/2006/relationships/drawing" Target="../drawings/shapes1.x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M64"/>
  <sheetViews>
    <sheetView zoomScale="93" zoomScaleNormal="93" workbookViewId="0">
      <selection activeCell="A2" sqref="A2"/>
    </sheetView>
  </sheetViews>
  <sheetFormatPr baseColWidth="10" defaultColWidth="11.42578125" defaultRowHeight="15"/>
  <cols>
    <col width="19.28515625" customWidth="1" style="757" min="1" max="1"/>
    <col width="11.7109375" customWidth="1" style="757" min="2" max="2"/>
    <col width="12.42578125" customWidth="1" style="757" min="3" max="3"/>
    <col width="6.28515625" customWidth="1" style="757" min="4" max="4"/>
    <col width="4.5703125" customWidth="1" style="757" min="5" max="35"/>
    <col width="9.28515625" customWidth="1" style="6" min="36" max="36"/>
    <col width="4.5703125" customWidth="1" style="757" min="37" max="49"/>
    <col width="8.5703125" customWidth="1" style="757" min="50" max="50"/>
    <col width="4.5703125" customWidth="1" style="757" min="51" max="94"/>
    <col width="3.7109375" customWidth="1" style="757" min="95" max="95"/>
    <col width="4.5703125" customWidth="1" style="757" min="96" max="125"/>
  </cols>
  <sheetData>
    <row r="1" ht="18.75" customHeight="1" s="757">
      <c r="A1" s="788" t="inlineStr">
        <is>
          <t>JULIOL</t>
        </is>
      </c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42" t="n"/>
      <c r="AJ1" s="4" t="n"/>
    </row>
    <row r="2" ht="65.25" customHeight="1" s="757">
      <c r="A2" s="7" t="inlineStr">
        <is>
          <t>AULA</t>
        </is>
      </c>
      <c r="B2" s="8" t="inlineStr">
        <is>
          <t>INICI</t>
        </is>
      </c>
      <c r="C2" s="8" t="inlineStr">
        <is>
          <t>FINAL</t>
        </is>
      </c>
      <c r="D2" s="8" t="inlineStr">
        <is>
          <t>AULA</t>
        </is>
      </c>
      <c r="E2" s="9" t="n">
        <v>44743</v>
      </c>
      <c r="F2" s="9" t="n">
        <v>44744</v>
      </c>
      <c r="G2" s="9" t="n">
        <v>44745</v>
      </c>
      <c r="H2" s="9" t="n">
        <v>44746</v>
      </c>
      <c r="I2" s="9" t="n">
        <v>44747</v>
      </c>
      <c r="J2" s="9" t="n">
        <v>44748</v>
      </c>
      <c r="K2" s="9" t="n">
        <v>44749</v>
      </c>
      <c r="L2" s="9" t="n">
        <v>44750</v>
      </c>
      <c r="M2" s="9" t="n">
        <v>44751</v>
      </c>
      <c r="N2" s="9" t="n">
        <v>44752</v>
      </c>
      <c r="O2" s="9" t="n">
        <v>44753</v>
      </c>
      <c r="P2" s="9" t="n">
        <v>44754</v>
      </c>
      <c r="Q2" s="9" t="n">
        <v>44755</v>
      </c>
      <c r="R2" s="9" t="n">
        <v>44756</v>
      </c>
      <c r="S2" s="9" t="n">
        <v>44757</v>
      </c>
      <c r="T2" s="9" t="n">
        <v>44758</v>
      </c>
      <c r="U2" s="9" t="n">
        <v>44759</v>
      </c>
      <c r="V2" s="9" t="n">
        <v>44760</v>
      </c>
      <c r="W2" s="9" t="n">
        <v>44761</v>
      </c>
      <c r="X2" s="9" t="n">
        <v>44762</v>
      </c>
      <c r="Y2" s="9" t="n">
        <v>44763</v>
      </c>
      <c r="Z2" s="9" t="n">
        <v>44764</v>
      </c>
      <c r="AA2" s="9" t="n">
        <v>44765</v>
      </c>
      <c r="AB2" s="9" t="n">
        <v>44766</v>
      </c>
      <c r="AC2" s="9" t="n">
        <v>44767</v>
      </c>
      <c r="AD2" s="9" t="n">
        <v>44768</v>
      </c>
      <c r="AE2" s="9" t="n">
        <v>44769</v>
      </c>
      <c r="AF2" s="9" t="n">
        <v>44770</v>
      </c>
      <c r="AG2" s="9" t="n">
        <v>44771</v>
      </c>
      <c r="AH2" s="9" t="n">
        <v>44772</v>
      </c>
      <c r="AI2" s="9" t="n">
        <v>44773</v>
      </c>
      <c r="AJ2" s="4" t="n"/>
    </row>
    <row r="3" ht="15.75" customHeight="1" s="757">
      <c r="A3" s="10" t="inlineStr">
        <is>
          <t>GOOGLE MATINS</t>
        </is>
      </c>
      <c r="B3" s="11" t="n"/>
      <c r="C3" s="11" t="n"/>
      <c r="D3" s="12" t="n"/>
      <c r="E3" s="756" t="n"/>
      <c r="F3" s="24" t="n"/>
      <c r="G3" s="24" t="n"/>
      <c r="H3" s="756" t="n"/>
      <c r="I3" s="756" t="n"/>
      <c r="J3" s="756" t="n"/>
      <c r="K3" s="756" t="n"/>
      <c r="L3" s="756" t="n"/>
      <c r="M3" s="24" t="n"/>
      <c r="N3" s="24" t="n"/>
      <c r="O3" s="756" t="n"/>
      <c r="P3" s="756" t="n"/>
      <c r="Q3" s="756" t="n"/>
      <c r="R3" s="756" t="n"/>
      <c r="S3" s="26" t="n"/>
      <c r="T3" s="24" t="n"/>
      <c r="U3" s="24" t="n"/>
      <c r="V3" s="34" t="n"/>
      <c r="W3" s="34" t="n"/>
      <c r="X3" s="34" t="n"/>
      <c r="Y3" s="34" t="n"/>
      <c r="Z3" s="34" t="n"/>
      <c r="AA3" s="24" t="n"/>
      <c r="AB3" s="24" t="n"/>
      <c r="AC3" s="34" t="n"/>
      <c r="AD3" s="34" t="n"/>
      <c r="AE3" s="34" t="n"/>
      <c r="AF3" s="34" t="n"/>
      <c r="AG3" s="34" t="n"/>
      <c r="AH3" s="24" t="n"/>
      <c r="AI3" s="24" t="n"/>
      <c r="AJ3" s="4" t="n"/>
      <c r="AK3" s="698" t="inlineStr">
        <is>
          <t>FCOI18- ACTIC- comunica i cool.laborac</t>
        </is>
      </c>
      <c r="AU3" s="702" t="n"/>
    </row>
    <row r="4" ht="15.75" customHeight="1" s="757">
      <c r="A4" s="14" t="inlineStr">
        <is>
          <t>FIREFOX MATINS</t>
        </is>
      </c>
      <c r="B4" s="15" t="n"/>
      <c r="C4" s="15" t="n"/>
      <c r="D4" s="15" t="n"/>
      <c r="E4" s="778" t="n"/>
      <c r="F4" s="35" t="n"/>
      <c r="G4" s="35" t="n"/>
      <c r="H4" s="778" t="n"/>
      <c r="I4" s="778" t="n"/>
      <c r="J4" s="778" t="n"/>
      <c r="K4" s="778" t="n"/>
      <c r="L4" s="778" t="n"/>
      <c r="M4" s="35" t="n"/>
      <c r="N4" s="35" t="n"/>
      <c r="O4" s="778" t="n"/>
      <c r="P4" s="778" t="n"/>
      <c r="Q4" s="778" t="n"/>
      <c r="R4" s="778" t="n"/>
      <c r="S4" s="27" t="n"/>
      <c r="T4" s="35" t="n"/>
      <c r="U4" s="35" t="n"/>
      <c r="V4" s="778" t="n"/>
      <c r="W4" s="778" t="n"/>
      <c r="X4" s="778" t="n"/>
      <c r="Y4" s="778" t="n"/>
      <c r="Z4" s="778" t="n"/>
      <c r="AA4" s="35" t="n"/>
      <c r="AB4" s="35" t="n"/>
      <c r="AC4" s="778" t="n"/>
      <c r="AD4" s="778" t="n"/>
      <c r="AE4" s="778" t="n"/>
      <c r="AF4" s="778" t="n"/>
      <c r="AG4" s="778" t="n"/>
      <c r="AH4" s="35" t="n"/>
      <c r="AI4" s="35" t="n"/>
      <c r="AJ4" s="4" t="n"/>
    </row>
    <row r="5" ht="15.75" customHeight="1" s="757">
      <c r="A5" s="17" t="inlineStr">
        <is>
          <t>GOOGLE TARDA</t>
        </is>
      </c>
      <c r="B5" s="18" t="n"/>
      <c r="C5" s="18" t="n"/>
      <c r="D5" s="18" t="n"/>
      <c r="E5" s="755" t="n"/>
      <c r="F5" s="39" t="n"/>
      <c r="G5" s="39" t="n"/>
      <c r="H5" s="40" t="n"/>
      <c r="I5" s="46" t="n"/>
      <c r="J5" s="47" t="n"/>
      <c r="K5" s="46" t="n"/>
      <c r="L5" s="44" t="n"/>
      <c r="M5" s="39" t="n"/>
      <c r="N5" s="39" t="n"/>
      <c r="O5" s="44" t="n"/>
      <c r="P5" s="48" t="n"/>
      <c r="Q5" s="44" t="n"/>
      <c r="R5" s="48" t="n"/>
      <c r="S5" s="28" t="n"/>
      <c r="T5" s="39" t="n"/>
      <c r="U5" s="39" t="n"/>
      <c r="V5" s="20" t="n"/>
      <c r="W5" s="23" t="n"/>
      <c r="X5" s="20" t="n"/>
      <c r="Y5" s="20" t="n"/>
      <c r="Z5" s="20" t="n"/>
      <c r="AA5" s="39" t="n"/>
      <c r="AB5" s="39" t="n"/>
      <c r="AD5" s="49" t="inlineStr">
        <is>
          <t>EX.ACTIC C6 REACT</t>
        </is>
      </c>
      <c r="AE5" s="49" t="inlineStr">
        <is>
          <t>EX PRIVAT</t>
        </is>
      </c>
      <c r="AF5" s="755" t="n"/>
      <c r="AG5" s="755" t="n"/>
      <c r="AH5" s="39" t="n"/>
      <c r="AI5" s="39" t="n"/>
      <c r="AJ5" s="4" t="n"/>
      <c r="AK5" s="56" t="inlineStr">
        <is>
          <t>acTIC AVANÇAT react  C4 (torredembarra)</t>
        </is>
      </c>
      <c r="AL5" s="56" t="n"/>
      <c r="AM5" s="56" t="n"/>
      <c r="AN5" s="56" t="n"/>
      <c r="AO5" s="56" t="n"/>
      <c r="AU5" s="702" t="inlineStr">
        <is>
          <t>ACTIC 9ª EDIC</t>
        </is>
      </c>
    </row>
    <row r="6" ht="15.75" customHeight="1" s="757">
      <c r="A6" s="10" t="inlineStr">
        <is>
          <t>FIREFOX TARDA</t>
        </is>
      </c>
      <c r="B6" s="11" t="n"/>
      <c r="C6" s="11" t="n"/>
      <c r="D6" s="12" t="n"/>
      <c r="E6" s="41" t="n"/>
      <c r="F6" s="24" t="n"/>
      <c r="G6" s="24" t="n"/>
      <c r="H6" s="756" t="n"/>
      <c r="I6" s="32" t="n"/>
      <c r="J6" s="32" t="n"/>
      <c r="K6" s="32" t="n"/>
      <c r="L6" s="32" t="n"/>
      <c r="M6" s="24" t="n"/>
      <c r="N6" s="24" t="n"/>
      <c r="O6" s="756" t="n"/>
      <c r="P6" s="756" t="n"/>
      <c r="Q6" s="756" t="n"/>
      <c r="R6" s="31" t="n"/>
      <c r="S6" s="26" t="n"/>
      <c r="T6" s="24" t="n"/>
      <c r="U6" s="24" t="n"/>
      <c r="V6" s="23" t="n"/>
      <c r="W6" s="23" t="n"/>
      <c r="X6" s="23" t="n"/>
      <c r="Y6" s="23" t="n"/>
      <c r="Z6" s="23" t="n"/>
      <c r="AA6" s="24" t="n"/>
      <c r="AB6" s="24" t="n"/>
      <c r="AC6" s="756" t="n"/>
      <c r="AD6" s="756" t="n"/>
      <c r="AE6" s="756" t="n"/>
      <c r="AF6" s="756" t="n"/>
      <c r="AG6" s="756" t="n"/>
      <c r="AH6" s="24" t="n"/>
      <c r="AI6" s="24" t="n"/>
      <c r="AJ6" s="4" t="n"/>
      <c r="AK6" s="703" t="inlineStr">
        <is>
          <t>EINES PER DIRIGIR LA TEVA VIDA</t>
        </is>
      </c>
      <c r="AR6" s="56" t="inlineStr">
        <is>
          <t>acTIC c6 niv.AVANÇAT (RAFA)</t>
        </is>
      </c>
      <c r="AS6" s="56" t="n"/>
      <c r="AT6" s="56" t="n"/>
      <c r="AU6" s="56" t="n"/>
      <c r="AV6" s="56" t="n"/>
      <c r="AW6" s="56" t="n"/>
      <c r="AX6" s="51" t="inlineStr">
        <is>
          <t>EXAMEN 8ª ACTIC</t>
        </is>
      </c>
    </row>
    <row r="7" ht="15.75" customHeight="1" s="757">
      <c r="A7" s="10" t="inlineStr">
        <is>
          <t>TARRAGONA tarda</t>
        </is>
      </c>
      <c r="B7" s="11" t="n"/>
      <c r="C7" s="11" t="n"/>
      <c r="D7" s="12" t="n"/>
      <c r="E7" s="42" t="n">
        <v>5</v>
      </c>
      <c r="F7" s="24" t="n"/>
      <c r="G7" s="24" t="n"/>
      <c r="H7" s="42" t="n"/>
      <c r="I7" s="42" t="n"/>
      <c r="J7" s="42" t="n"/>
      <c r="K7" s="42" t="n"/>
      <c r="L7" s="42" t="n"/>
      <c r="M7" s="24" t="n"/>
      <c r="N7" s="24" t="n"/>
      <c r="O7" s="756" t="n"/>
      <c r="P7" s="756" t="n"/>
      <c r="Q7" s="31" t="n"/>
      <c r="R7" s="756" t="n"/>
      <c r="S7" s="26" t="n"/>
      <c r="T7" s="24" t="n"/>
      <c r="U7" s="24" t="n"/>
      <c r="V7" s="756" t="n"/>
      <c r="W7" s="756" t="n"/>
      <c r="X7" s="756" t="n"/>
      <c r="Y7" s="756" t="n"/>
      <c r="Z7" s="756" t="n"/>
      <c r="AA7" s="24" t="n"/>
      <c r="AB7" s="24" t="n"/>
      <c r="AC7" s="756" t="n"/>
      <c r="AD7" s="756" t="n"/>
      <c r="AE7" s="756" t="n"/>
      <c r="AF7" s="756" t="n"/>
      <c r="AG7" s="756" t="n"/>
      <c r="AH7" s="24" t="n"/>
      <c r="AI7" s="24" t="n"/>
      <c r="AJ7" s="4" t="n"/>
      <c r="AK7" s="57" t="inlineStr">
        <is>
          <t>5- ACTIC -REACT C6 (16-21)</t>
        </is>
      </c>
      <c r="AL7" s="58" t="n"/>
      <c r="AM7" s="58" t="n"/>
      <c r="AN7" s="58" t="n"/>
      <c r="AO7" s="58" t="n"/>
      <c r="AP7" s="58" t="n"/>
      <c r="AR7" s="51" t="inlineStr">
        <is>
          <t>EXAMEN ACTIC C6 REACT</t>
        </is>
      </c>
      <c r="AS7" s="51" t="n"/>
      <c r="AT7" s="51" t="n"/>
      <c r="AU7" s="51" t="n"/>
      <c r="AV7" s="51" t="n"/>
    </row>
    <row r="8" ht="15.75" customHeight="1" s="757">
      <c r="A8" s="25" t="inlineStr">
        <is>
          <t>on line</t>
        </is>
      </c>
      <c r="B8" s="11" t="n"/>
      <c r="C8" s="11" t="n"/>
      <c r="D8" s="12" t="n"/>
      <c r="E8" s="38" t="n"/>
      <c r="F8" s="24" t="n"/>
      <c r="G8" s="24" t="n"/>
      <c r="H8" s="38" t="n"/>
      <c r="I8" s="38" t="n"/>
      <c r="J8" s="38" t="n"/>
      <c r="K8" s="38" t="n"/>
      <c r="L8" s="38" t="n"/>
      <c r="M8" s="24" t="n"/>
      <c r="N8" s="24" t="n"/>
      <c r="O8" s="38" t="n"/>
      <c r="P8" s="38" t="n"/>
      <c r="Q8" s="38" t="n"/>
      <c r="R8" s="38" t="n"/>
      <c r="S8" s="26" t="n"/>
      <c r="T8" s="24" t="n"/>
      <c r="U8" s="24" t="n"/>
      <c r="V8" s="38" t="n"/>
      <c r="W8" s="38" t="n"/>
      <c r="X8" s="38" t="n"/>
      <c r="Y8" s="38" t="n"/>
      <c r="Z8" s="38" t="n"/>
      <c r="AA8" s="24" t="n"/>
      <c r="AB8" s="24" t="n"/>
      <c r="AC8" s="38" t="n"/>
      <c r="AD8" s="38" t="n"/>
      <c r="AE8" s="38" t="n"/>
      <c r="AF8" s="38" t="n"/>
      <c r="AG8" s="38" t="n"/>
      <c r="AH8" s="24" t="n"/>
      <c r="AI8" s="24" t="n"/>
      <c r="AJ8" s="4" t="n"/>
      <c r="AK8" s="700" t="inlineStr">
        <is>
          <t>ANDROID</t>
        </is>
      </c>
    </row>
    <row r="9" ht="15.75" customHeight="1" s="757">
      <c r="A9" s="25" t="inlineStr">
        <is>
          <t>on line</t>
        </is>
      </c>
      <c r="B9" s="11" t="n"/>
      <c r="C9" s="11" t="n"/>
      <c r="D9" s="12" t="n"/>
      <c r="E9" s="43" t="n"/>
      <c r="F9" s="24" t="n"/>
      <c r="G9" s="24" t="n"/>
      <c r="H9" s="43" t="n"/>
      <c r="I9" s="43" t="n"/>
      <c r="J9" s="43" t="n"/>
      <c r="K9" s="43" t="n"/>
      <c r="L9" s="43" t="n"/>
      <c r="M9" s="24" t="n"/>
      <c r="N9" s="24" t="n"/>
      <c r="O9" s="43" t="n"/>
      <c r="P9" s="43" t="n"/>
      <c r="Q9" s="43" t="n"/>
      <c r="R9" s="43" t="n"/>
      <c r="S9" s="26" t="n"/>
      <c r="T9" s="24" t="n"/>
      <c r="U9" s="24" t="n"/>
      <c r="V9" s="43" t="n"/>
      <c r="W9" s="43" t="n"/>
      <c r="X9" s="43" t="n"/>
      <c r="Y9" s="43" t="n"/>
      <c r="Z9" s="43" t="n"/>
      <c r="AA9" s="24" t="n"/>
      <c r="AB9" s="24" t="n"/>
      <c r="AC9" s="43" t="n"/>
      <c r="AD9" s="43" t="n"/>
      <c r="AE9" s="43" t="n"/>
      <c r="AF9" s="43" t="n"/>
      <c r="AG9" s="43" t="n"/>
      <c r="AH9" s="24" t="n"/>
      <c r="AI9" s="24" t="n"/>
      <c r="AJ9" s="4" t="n"/>
      <c r="AK9" s="696" t="inlineStr">
        <is>
          <t>FRONT END 240H (grup 4)</t>
        </is>
      </c>
    </row>
    <row r="10" ht="15.75" customHeight="1" s="757">
      <c r="A10" s="25" t="inlineStr">
        <is>
          <t>on line</t>
        </is>
      </c>
      <c r="B10" s="11" t="n"/>
      <c r="C10" s="11" t="n"/>
      <c r="D10" s="12" t="n"/>
      <c r="E10" s="33" t="n"/>
      <c r="F10" s="24" t="n"/>
      <c r="G10" s="24" t="n"/>
      <c r="H10" s="33" t="n"/>
      <c r="I10" s="33" t="n"/>
      <c r="J10" s="33" t="n"/>
      <c r="K10" s="33" t="n"/>
      <c r="L10" s="33" t="n"/>
      <c r="M10" s="24" t="n"/>
      <c r="N10" s="24" t="n"/>
      <c r="O10" s="33" t="n"/>
      <c r="P10" s="33" t="n"/>
      <c r="Q10" s="33" t="n"/>
      <c r="R10" s="33" t="n"/>
      <c r="S10" s="26" t="n"/>
      <c r="T10" s="24" t="n"/>
      <c r="U10" s="24" t="n"/>
      <c r="V10" s="33" t="n"/>
      <c r="W10" s="33" t="n"/>
      <c r="X10" s="33" t="n"/>
      <c r="Y10" s="33" t="n"/>
      <c r="Z10" s="33" t="n"/>
      <c r="AA10" s="24" t="n"/>
      <c r="AB10" s="24" t="n"/>
      <c r="AC10" s="33" t="n"/>
      <c r="AD10" s="33" t="n"/>
      <c r="AE10" s="33" t="n"/>
      <c r="AF10" s="33" t="n"/>
      <c r="AG10" s="33" t="n"/>
      <c r="AH10" s="24" t="n"/>
      <c r="AI10" s="24" t="n"/>
      <c r="AJ10" s="4" t="n"/>
      <c r="AK10" s="701" t="inlineStr">
        <is>
          <t>FRONT END 240H</t>
        </is>
      </c>
    </row>
    <row r="11" ht="15.75" customHeight="1" s="757">
      <c r="A11" s="25" t="inlineStr">
        <is>
          <t>on line</t>
        </is>
      </c>
      <c r="B11" s="11" t="n"/>
      <c r="C11" s="11" t="n"/>
      <c r="D11" s="12" t="n"/>
      <c r="E11" s="756" t="n"/>
      <c r="F11" s="24" t="n"/>
      <c r="G11" s="24" t="n"/>
      <c r="H11" s="756" t="n"/>
      <c r="I11" s="756" t="n"/>
      <c r="J11" s="756" t="n"/>
      <c r="K11" s="756" t="n"/>
      <c r="L11" s="30" t="n"/>
      <c r="M11" s="24" t="n"/>
      <c r="N11" s="24" t="n"/>
      <c r="O11" s="30" t="n"/>
      <c r="P11" s="30" t="n"/>
      <c r="Q11" s="30" t="n"/>
      <c r="R11" s="30" t="n"/>
      <c r="S11" s="26" t="n"/>
      <c r="T11" s="24" t="n"/>
      <c r="U11" s="24" t="n"/>
      <c r="V11" s="30" t="n"/>
      <c r="W11" s="30" t="n"/>
      <c r="X11" s="30" t="n"/>
      <c r="Y11" s="30" t="n"/>
      <c r="Z11" s="30" t="n"/>
      <c r="AA11" s="24" t="n"/>
      <c r="AB11" s="24" t="n"/>
      <c r="AC11" s="30" t="n"/>
      <c r="AD11" s="30" t="n"/>
      <c r="AE11" s="30" t="n"/>
      <c r="AF11" s="30" t="n"/>
      <c r="AG11" s="30" t="n"/>
      <c r="AH11" s="24" t="n"/>
      <c r="AI11" s="24" t="n"/>
      <c r="AJ11" s="4" t="n"/>
      <c r="AK11" s="690" t="inlineStr">
        <is>
          <t>JAVA 240H</t>
        </is>
      </c>
    </row>
    <row r="12" ht="15.75" customHeight="1" s="757">
      <c r="A12" s="25" t="inlineStr">
        <is>
          <t>on line</t>
        </is>
      </c>
      <c r="B12" s="11" t="n"/>
      <c r="C12" s="11" t="n"/>
      <c r="D12" s="12" t="n"/>
      <c r="E12" s="756" t="n"/>
      <c r="F12" s="24" t="n"/>
      <c r="G12" s="24" t="n"/>
      <c r="H12" s="756" t="n"/>
      <c r="I12" s="756" t="n"/>
      <c r="J12" s="756" t="n"/>
      <c r="K12" s="756" t="n"/>
      <c r="L12" s="67" t="n"/>
      <c r="M12" s="24" t="n"/>
      <c r="N12" s="24" t="n"/>
      <c r="O12" s="67" t="n"/>
      <c r="P12" s="67" t="n"/>
      <c r="Q12" s="67" t="n"/>
      <c r="R12" s="67" t="n"/>
      <c r="S12" s="26" t="n"/>
      <c r="T12" s="24" t="n"/>
      <c r="U12" s="24" t="n"/>
      <c r="V12" s="67" t="n"/>
      <c r="W12" s="67" t="n"/>
      <c r="X12" s="67" t="n"/>
      <c r="Y12" s="67" t="n"/>
      <c r="Z12" s="67" t="n"/>
      <c r="AA12" s="24" t="n"/>
      <c r="AB12" s="24" t="n"/>
      <c r="AC12" s="67" t="n"/>
      <c r="AD12" s="67" t="n"/>
      <c r="AE12" s="67" t="n"/>
      <c r="AF12" s="67" t="n"/>
      <c r="AG12" s="67" t="n"/>
      <c r="AH12" s="24" t="n"/>
      <c r="AI12" s="24" t="n"/>
      <c r="AJ12" s="4" t="n"/>
      <c r="AK12" s="691" t="inlineStr">
        <is>
          <t>OPEN SOURCE 240H</t>
        </is>
      </c>
    </row>
    <row r="13" ht="18.75" customHeight="1" s="757">
      <c r="A13" s="788" t="inlineStr">
        <is>
          <t>AGOST</t>
        </is>
      </c>
      <c r="B13" s="156" t="n"/>
      <c r="C13" s="156" t="n"/>
      <c r="D13" s="156" t="n"/>
      <c r="E13" s="156" t="n"/>
      <c r="F13" s="156" t="n"/>
      <c r="G13" s="156" t="n"/>
      <c r="H13" s="156" t="n"/>
      <c r="I13" s="156" t="n"/>
      <c r="J13" s="156" t="n"/>
      <c r="K13" s="156" t="n"/>
      <c r="L13" s="156" t="n"/>
      <c r="M13" s="156" t="n"/>
      <c r="N13" s="156" t="n"/>
      <c r="O13" s="156" t="n"/>
      <c r="P13" s="156" t="n"/>
      <c r="Q13" s="156" t="n"/>
      <c r="R13" s="156" t="n"/>
      <c r="S13" s="156" t="n"/>
      <c r="T13" s="156" t="n"/>
      <c r="U13" s="156" t="n"/>
      <c r="V13" s="156" t="n"/>
      <c r="W13" s="156" t="n"/>
      <c r="X13" s="156" t="n"/>
      <c r="Y13" s="156" t="n"/>
      <c r="Z13" s="156" t="n"/>
      <c r="AA13" s="156" t="n"/>
      <c r="AB13" s="156" t="n"/>
      <c r="AC13" s="156" t="n"/>
      <c r="AD13" s="156" t="n"/>
      <c r="AE13" s="156" t="n"/>
      <c r="AF13" s="156" t="n"/>
      <c r="AG13" s="156" t="n"/>
      <c r="AH13" s="156" t="n"/>
      <c r="AI13" s="142" t="n"/>
      <c r="AJ13" s="4" t="n"/>
    </row>
    <row r="14" ht="64.5" customHeight="1" s="757">
      <c r="A14" s="7" t="inlineStr">
        <is>
          <t>AULA</t>
        </is>
      </c>
      <c r="B14" s="8" t="inlineStr">
        <is>
          <t>INICI</t>
        </is>
      </c>
      <c r="C14" s="8" t="inlineStr">
        <is>
          <t>FINAL</t>
        </is>
      </c>
      <c r="D14" s="8" t="inlineStr">
        <is>
          <t>AULA</t>
        </is>
      </c>
      <c r="E14" s="9" t="n">
        <v>44774</v>
      </c>
      <c r="F14" s="9" t="n">
        <v>44775</v>
      </c>
      <c r="G14" s="9" t="n">
        <v>44776</v>
      </c>
      <c r="H14" s="9" t="n">
        <v>44777</v>
      </c>
      <c r="I14" s="9" t="n">
        <v>44778</v>
      </c>
      <c r="J14" s="9" t="n">
        <v>44779</v>
      </c>
      <c r="K14" s="9" t="n">
        <v>44780</v>
      </c>
      <c r="L14" s="9" t="n">
        <v>44781</v>
      </c>
      <c r="M14" s="9" t="n">
        <v>44782</v>
      </c>
      <c r="N14" s="9" t="n">
        <v>44783</v>
      </c>
      <c r="O14" s="9" t="n">
        <v>44784</v>
      </c>
      <c r="P14" s="9" t="n">
        <v>44785</v>
      </c>
      <c r="Q14" s="9" t="n">
        <v>44786</v>
      </c>
      <c r="R14" s="9" t="n">
        <v>44787</v>
      </c>
      <c r="S14" s="9" t="n">
        <v>44788</v>
      </c>
      <c r="T14" s="9" t="n">
        <v>44789</v>
      </c>
      <c r="U14" s="9" t="n">
        <v>44790</v>
      </c>
      <c r="V14" s="9" t="n">
        <v>44791</v>
      </c>
      <c r="W14" s="9" t="n">
        <v>44792</v>
      </c>
      <c r="X14" s="9" t="n">
        <v>44793</v>
      </c>
      <c r="Y14" s="9" t="n">
        <v>44794</v>
      </c>
      <c r="Z14" s="9" t="n">
        <v>44795</v>
      </c>
      <c r="AA14" s="9" t="n">
        <v>44796</v>
      </c>
      <c r="AB14" s="9" t="n">
        <v>44797</v>
      </c>
      <c r="AC14" s="9" t="n">
        <v>44798</v>
      </c>
      <c r="AD14" s="9" t="n">
        <v>44799</v>
      </c>
      <c r="AE14" s="9" t="n">
        <v>44800</v>
      </c>
      <c r="AF14" s="9" t="n">
        <v>44801</v>
      </c>
      <c r="AG14" s="9" t="n">
        <v>44802</v>
      </c>
      <c r="AH14" s="9" t="n">
        <v>44803</v>
      </c>
      <c r="AI14" s="9" t="n">
        <v>44804</v>
      </c>
      <c r="AJ14" s="4" t="n"/>
    </row>
    <row r="15" ht="15.75" customHeight="1" s="757">
      <c r="A15" s="10" t="inlineStr">
        <is>
          <t>GOOGLE MATINS</t>
        </is>
      </c>
      <c r="B15" s="11" t="n"/>
      <c r="C15" s="11" t="n"/>
      <c r="D15" s="12" t="n"/>
      <c r="E15" s="63" t="n"/>
      <c r="F15" s="63" t="n"/>
      <c r="G15" s="63" t="n"/>
      <c r="H15" s="63" t="n"/>
      <c r="I15" s="63" t="n"/>
      <c r="J15" s="24" t="n"/>
      <c r="K15" s="24" t="n"/>
      <c r="L15" s="63" t="n"/>
      <c r="M15" s="63" t="n"/>
      <c r="N15" s="63" t="n"/>
      <c r="O15" s="63" t="n"/>
      <c r="P15" s="63" t="n"/>
      <c r="Q15" s="24" t="n"/>
      <c r="R15" s="24" t="n"/>
      <c r="S15" s="26" t="n"/>
      <c r="T15" s="63" t="n"/>
      <c r="U15" s="63" t="n"/>
      <c r="V15" s="63" t="n"/>
      <c r="W15" s="63" t="n"/>
      <c r="X15" s="24" t="n"/>
      <c r="Y15" s="24" t="n"/>
      <c r="Z15" s="63" t="n"/>
      <c r="AA15" s="63" t="n"/>
      <c r="AB15" s="63" t="n"/>
      <c r="AC15" s="63" t="n"/>
      <c r="AD15" s="63" t="n"/>
      <c r="AE15" s="24" t="n"/>
      <c r="AF15" s="24" t="n"/>
      <c r="AG15" s="63" t="n"/>
      <c r="AH15" s="63" t="n"/>
      <c r="AI15" s="63" t="n"/>
      <c r="AJ15" s="4" t="n"/>
    </row>
    <row r="16" ht="15.75" customHeight="1" s="757">
      <c r="A16" s="14" t="inlineStr">
        <is>
          <t>FIREFOX MATINS</t>
        </is>
      </c>
      <c r="B16" s="15" t="n"/>
      <c r="C16" s="15" t="n"/>
      <c r="D16" s="15" t="n"/>
      <c r="E16" s="64" t="n"/>
      <c r="F16" s="64" t="n"/>
      <c r="G16" s="64" t="n"/>
      <c r="H16" s="64" t="n"/>
      <c r="I16" s="64" t="n"/>
      <c r="J16" s="35" t="n"/>
      <c r="K16" s="35" t="n"/>
      <c r="L16" s="64" t="n"/>
      <c r="M16" s="64" t="n"/>
      <c r="N16" s="64" t="n"/>
      <c r="O16" s="64" t="n"/>
      <c r="P16" s="64" t="n"/>
      <c r="Q16" s="35" t="n"/>
      <c r="R16" s="35" t="n"/>
      <c r="S16" s="27" t="n"/>
      <c r="T16" s="64" t="n"/>
      <c r="U16" s="64" t="n"/>
      <c r="V16" s="64" t="n"/>
      <c r="W16" s="64" t="n"/>
      <c r="X16" s="35" t="n"/>
      <c r="Y16" s="35" t="n"/>
      <c r="Z16" s="64" t="n"/>
      <c r="AA16" s="64" t="n"/>
      <c r="AB16" s="64" t="n"/>
      <c r="AC16" s="110" t="n"/>
      <c r="AD16" s="64" t="n"/>
      <c r="AE16" s="35" t="n"/>
      <c r="AF16" s="35" t="n"/>
      <c r="AG16" s="64" t="n"/>
      <c r="AH16" s="64" t="n"/>
      <c r="AI16" s="64" t="n"/>
      <c r="AJ16" s="4" t="n"/>
      <c r="AL16" s="115" t="n"/>
      <c r="AM16" t="inlineStr">
        <is>
          <t>examen front 4</t>
        </is>
      </c>
    </row>
    <row r="17" ht="15.75" customHeight="1" s="757">
      <c r="A17" s="17" t="inlineStr">
        <is>
          <t>GOOGLE TARDA</t>
        </is>
      </c>
      <c r="B17" s="18" t="n"/>
      <c r="C17" s="18" t="n"/>
      <c r="D17" s="18" t="n"/>
      <c r="E17" s="65" t="n"/>
      <c r="F17" s="65" t="n"/>
      <c r="G17" s="65" t="n"/>
      <c r="H17" s="66" t="n"/>
      <c r="I17" s="66" t="n"/>
      <c r="J17" s="36" t="n"/>
      <c r="K17" s="36" t="n"/>
      <c r="L17" s="65" t="n"/>
      <c r="M17" s="65" t="n"/>
      <c r="N17" s="65" t="n"/>
      <c r="O17" s="65" t="n"/>
      <c r="P17" s="65" t="n"/>
      <c r="Q17" s="39" t="n"/>
      <c r="R17" s="39" t="n"/>
      <c r="S17" s="28" t="n"/>
      <c r="T17" s="65" t="n"/>
      <c r="U17" s="65" t="n"/>
      <c r="V17" s="65" t="n"/>
      <c r="W17" s="65" t="n"/>
      <c r="X17" s="39" t="n"/>
      <c r="Y17" s="39" t="n"/>
      <c r="Z17" s="65" t="n"/>
      <c r="AA17" s="65" t="n"/>
      <c r="AB17" s="65" t="n"/>
      <c r="AC17" s="65" t="n"/>
      <c r="AD17" s="65" t="n"/>
      <c r="AE17" s="39" t="n"/>
      <c r="AF17" s="39" t="n"/>
      <c r="AG17" s="65" t="n"/>
      <c r="AH17" s="65" t="n"/>
      <c r="AI17" s="49" t="inlineStr">
        <is>
          <t>EXAMEN MITJÀ ACTIC 9ª CONVOC</t>
        </is>
      </c>
      <c r="AJ17" s="4" t="n"/>
      <c r="AK17" s="687" t="inlineStr">
        <is>
          <t>actic privat + 1 avancat + repesca</t>
        </is>
      </c>
    </row>
    <row r="18" ht="15.75" customHeight="1" s="757">
      <c r="A18" s="10" t="inlineStr">
        <is>
          <t>FIREFOX TARDA</t>
        </is>
      </c>
      <c r="B18" s="11" t="n"/>
      <c r="C18" s="11" t="n"/>
      <c r="D18" s="12" t="n"/>
      <c r="E18" s="63" t="n"/>
      <c r="F18" s="63" t="n"/>
      <c r="G18" s="63" t="n"/>
      <c r="H18" s="63" t="n"/>
      <c r="I18" s="63" t="n"/>
      <c r="J18" s="24" t="n"/>
      <c r="K18" s="24" t="n"/>
      <c r="L18" s="63" t="n"/>
      <c r="M18" s="63" t="n"/>
      <c r="N18" s="63" t="n"/>
      <c r="O18" s="63" t="n"/>
      <c r="P18" s="63" t="n"/>
      <c r="Q18" s="24" t="n"/>
      <c r="R18" s="24" t="n"/>
      <c r="S18" s="26" t="n"/>
      <c r="T18" s="63" t="n"/>
      <c r="U18" s="63" t="n"/>
      <c r="V18" s="63" t="n"/>
      <c r="W18" s="63" t="n"/>
      <c r="X18" s="24" t="n"/>
      <c r="Y18" s="24" t="n"/>
      <c r="Z18" s="63" t="n"/>
      <c r="AA18" s="63" t="n"/>
      <c r="AB18" s="63" t="n"/>
      <c r="AC18" s="110" t="n"/>
      <c r="AD18" s="63" t="n"/>
      <c r="AE18" s="24" t="n"/>
      <c r="AF18" s="24" t="n"/>
      <c r="AG18" s="63" t="n"/>
      <c r="AH18" s="63" t="n"/>
      <c r="AI18" s="63" t="n"/>
      <c r="AJ18" s="4" t="n"/>
      <c r="AL18" s="115" t="n"/>
      <c r="AM18" t="inlineStr">
        <is>
          <t>examen front 4</t>
        </is>
      </c>
    </row>
    <row r="19" ht="15.75" customHeight="1" s="757">
      <c r="A19" s="25" t="inlineStr">
        <is>
          <t>on line</t>
        </is>
      </c>
      <c r="B19" s="11" t="n"/>
      <c r="C19" s="11" t="n"/>
      <c r="D19" s="12" t="n"/>
      <c r="E19" s="38" t="n"/>
      <c r="F19" s="38" t="n"/>
      <c r="G19" s="38" t="n"/>
      <c r="H19" s="38" t="n"/>
      <c r="I19" s="38" t="n"/>
      <c r="J19" s="24" t="n"/>
      <c r="K19" s="24" t="n"/>
      <c r="L19" s="38" t="n"/>
      <c r="M19" s="38" t="n"/>
      <c r="N19" s="38" t="n"/>
      <c r="O19" s="38" t="n"/>
      <c r="P19" s="38" t="n"/>
      <c r="Q19" s="24" t="n"/>
      <c r="R19" s="24" t="n"/>
      <c r="S19" s="26" t="n"/>
      <c r="T19" s="38" t="n"/>
      <c r="U19" s="38" t="n"/>
      <c r="V19" s="38" t="n"/>
      <c r="W19" s="38" t="n"/>
      <c r="X19" s="24" t="n"/>
      <c r="Y19" s="24" t="n"/>
      <c r="Z19" s="38" t="n"/>
      <c r="AA19" s="38" t="n"/>
      <c r="AB19" s="38" t="n"/>
      <c r="AC19" s="38" t="n"/>
      <c r="AD19" s="38" t="n"/>
      <c r="AE19" s="24" t="n"/>
      <c r="AF19" s="24" t="n"/>
      <c r="AG19" s="38" t="n"/>
      <c r="AH19" s="38" t="n"/>
      <c r="AI19" s="38" t="n"/>
      <c r="AJ19" s="4" t="n"/>
      <c r="AK19" s="700" t="inlineStr">
        <is>
          <t>ANDROID</t>
        </is>
      </c>
    </row>
    <row r="20" ht="15.75" customHeight="1" s="757">
      <c r="A20" s="25" t="inlineStr">
        <is>
          <t>on line</t>
        </is>
      </c>
      <c r="B20" s="11" t="n"/>
      <c r="C20" s="11" t="n"/>
      <c r="D20" s="12" t="n"/>
      <c r="E20" s="43" t="n"/>
      <c r="F20" s="43" t="n"/>
      <c r="G20" s="43" t="n"/>
      <c r="H20" s="43" t="n"/>
      <c r="I20" s="43" t="n"/>
      <c r="J20" s="24" t="n"/>
      <c r="K20" s="24" t="n"/>
      <c r="L20" s="43" t="n"/>
      <c r="M20" s="43" t="n"/>
      <c r="N20" s="43" t="n"/>
      <c r="O20" s="43" t="n"/>
      <c r="P20" s="43" t="n"/>
      <c r="Q20" s="24" t="n"/>
      <c r="R20" s="24" t="n"/>
      <c r="S20" s="26" t="n"/>
      <c r="T20" s="43" t="n"/>
      <c r="U20" s="43" t="n"/>
      <c r="V20" s="43" t="n"/>
      <c r="W20" s="43" t="n"/>
      <c r="X20" s="24" t="n"/>
      <c r="Y20" s="24" t="n"/>
      <c r="Z20" s="43" t="n"/>
      <c r="AA20" s="43" t="n"/>
      <c r="AB20" s="43" t="n"/>
      <c r="AC20" s="43" t="n"/>
      <c r="AD20" s="43" t="n"/>
      <c r="AE20" s="24" t="n"/>
      <c r="AF20" s="24" t="n"/>
      <c r="AG20" s="43" t="n"/>
      <c r="AH20" s="43" t="n"/>
      <c r="AI20" s="43" t="n"/>
      <c r="AJ20" s="4" t="n"/>
      <c r="AK20" s="696" t="inlineStr">
        <is>
          <t>FRONT END 240H (grup 4)</t>
        </is>
      </c>
    </row>
    <row r="21" ht="15.75" customHeight="1" s="757">
      <c r="A21" s="25" t="inlineStr">
        <is>
          <t>on line</t>
        </is>
      </c>
      <c r="B21" s="11" t="n"/>
      <c r="C21" s="11" t="n"/>
      <c r="D21" s="12" t="n"/>
      <c r="E21" s="33" t="n"/>
      <c r="F21" s="33" t="n"/>
      <c r="G21" s="33" t="n"/>
      <c r="H21" s="33" t="n"/>
      <c r="I21" s="33" t="n"/>
      <c r="J21" s="24" t="n"/>
      <c r="K21" s="24" t="n"/>
      <c r="L21" s="33" t="n"/>
      <c r="M21" s="33" t="n"/>
      <c r="N21" s="33" t="n"/>
      <c r="O21" s="33" t="n"/>
      <c r="P21" s="33" t="n"/>
      <c r="Q21" s="24" t="n"/>
      <c r="R21" s="24" t="n"/>
      <c r="S21" s="26" t="n"/>
      <c r="T21" s="33" t="n"/>
      <c r="U21" s="33" t="n"/>
      <c r="V21" s="33" t="n"/>
      <c r="W21" s="33" t="n"/>
      <c r="X21" s="24" t="n"/>
      <c r="Y21" s="24" t="n"/>
      <c r="Z21" s="33" t="n"/>
      <c r="AA21" s="33" t="n"/>
      <c r="AB21" s="33" t="n"/>
      <c r="AC21" s="33" t="n"/>
      <c r="AD21" s="33" t="n"/>
      <c r="AE21" s="24" t="n"/>
      <c r="AF21" s="24" t="n"/>
      <c r="AG21" s="33" t="n"/>
      <c r="AH21" s="33" t="n"/>
      <c r="AI21" s="33" t="n"/>
      <c r="AJ21" s="4" t="n"/>
      <c r="AK21" s="701" t="inlineStr">
        <is>
          <t>FRONT END 240H</t>
        </is>
      </c>
    </row>
    <row r="22" ht="15.75" customHeight="1" s="757">
      <c r="A22" s="25" t="inlineStr">
        <is>
          <t>on line</t>
        </is>
      </c>
      <c r="B22" s="11" t="n"/>
      <c r="C22" s="11" t="n"/>
      <c r="D22" s="12" t="n"/>
      <c r="E22" s="30" t="n"/>
      <c r="F22" s="30" t="n"/>
      <c r="G22" s="30" t="n"/>
      <c r="H22" s="30" t="n"/>
      <c r="I22" s="30" t="n"/>
      <c r="J22" s="24" t="n"/>
      <c r="K22" s="24" t="n"/>
      <c r="L22" s="30" t="n"/>
      <c r="M22" s="30" t="n"/>
      <c r="N22" s="30" t="n"/>
      <c r="O22" s="30" t="n"/>
      <c r="P22" s="30" t="n"/>
      <c r="Q22" s="24" t="n"/>
      <c r="R22" s="24" t="n"/>
      <c r="S22" s="26" t="n"/>
      <c r="T22" s="30" t="n"/>
      <c r="U22" s="30" t="n"/>
      <c r="V22" s="30" t="n"/>
      <c r="W22" s="30" t="n"/>
      <c r="X22" s="24" t="n"/>
      <c r="Y22" s="24" t="n"/>
      <c r="Z22" s="30" t="n"/>
      <c r="AA22" s="30" t="n"/>
      <c r="AB22" s="30" t="n"/>
      <c r="AC22" s="30" t="n"/>
      <c r="AD22" s="30" t="n"/>
      <c r="AE22" s="24" t="n"/>
      <c r="AF22" s="24" t="n"/>
      <c r="AG22" s="30" t="n"/>
      <c r="AH22" s="30" t="n"/>
      <c r="AI22" s="30" t="n"/>
      <c r="AJ22" s="4" t="n"/>
      <c r="AK22" s="690" t="inlineStr">
        <is>
          <t>JAVA 240H</t>
        </is>
      </c>
    </row>
    <row r="23" ht="15.75" customHeight="1" s="757">
      <c r="A23" s="25" t="inlineStr">
        <is>
          <t>on line</t>
        </is>
      </c>
      <c r="B23" s="11" t="n"/>
      <c r="C23" s="11" t="n"/>
      <c r="D23" s="12" t="n"/>
      <c r="E23" s="67" t="n"/>
      <c r="F23" s="67" t="n"/>
      <c r="G23" s="67" t="n"/>
      <c r="H23" s="67" t="n"/>
      <c r="I23" s="67" t="n"/>
      <c r="J23" s="24" t="n"/>
      <c r="K23" s="24" t="n"/>
      <c r="L23" s="67" t="n"/>
      <c r="M23" s="67" t="n"/>
      <c r="N23" s="67" t="n"/>
      <c r="O23" s="67" t="n"/>
      <c r="P23" s="67" t="n"/>
      <c r="Q23" s="24" t="n"/>
      <c r="R23" s="24" t="n"/>
      <c r="S23" s="26" t="n"/>
      <c r="T23" s="67" t="n"/>
      <c r="U23" s="67" t="n"/>
      <c r="V23" s="67" t="n"/>
      <c r="W23" s="67" t="n"/>
      <c r="X23" s="24" t="n"/>
      <c r="Y23" s="24" t="n"/>
      <c r="Z23" s="67" t="n"/>
      <c r="AA23" s="67" t="n"/>
      <c r="AB23" s="67" t="n"/>
      <c r="AC23" s="67" t="n"/>
      <c r="AD23" s="67" t="n"/>
      <c r="AE23" s="24" t="n"/>
      <c r="AF23" s="24" t="n"/>
      <c r="AG23" s="67" t="n"/>
      <c r="AH23" s="67" t="n"/>
      <c r="AI23" s="67" t="n"/>
      <c r="AJ23" s="4" t="n"/>
      <c r="AK23" s="691" t="inlineStr">
        <is>
          <t>OPEN SOURCE 240H</t>
        </is>
      </c>
    </row>
    <row r="24" ht="18.75" customHeight="1" s="757">
      <c r="A24" s="788" t="inlineStr">
        <is>
          <t>SETEMBRE</t>
        </is>
      </c>
      <c r="B24" s="156" t="n"/>
      <c r="C24" s="156" t="n"/>
      <c r="D24" s="156" t="n"/>
      <c r="E24" s="156" t="n"/>
      <c r="F24" s="156" t="n"/>
      <c r="G24" s="156" t="n"/>
      <c r="H24" s="156" t="n"/>
      <c r="I24" s="156" t="n"/>
      <c r="J24" s="156" t="n"/>
      <c r="K24" s="156" t="n"/>
      <c r="L24" s="156" t="n"/>
      <c r="M24" s="156" t="n"/>
      <c r="N24" s="156" t="n"/>
      <c r="O24" s="156" t="n"/>
      <c r="P24" s="156" t="n"/>
      <c r="Q24" s="156" t="n"/>
      <c r="R24" s="156" t="n"/>
      <c r="S24" s="156" t="n"/>
      <c r="T24" s="156" t="n"/>
      <c r="U24" s="156" t="n"/>
      <c r="V24" s="156" t="n"/>
      <c r="W24" s="156" t="n"/>
      <c r="X24" s="156" t="n"/>
      <c r="Y24" s="156" t="n"/>
      <c r="Z24" s="156" t="n"/>
      <c r="AA24" s="156" t="n"/>
      <c r="AB24" s="156" t="n"/>
      <c r="AC24" s="156" t="n"/>
      <c r="AD24" s="156" t="n"/>
      <c r="AE24" s="156" t="n"/>
      <c r="AF24" s="156" t="n"/>
      <c r="AG24" s="156" t="n"/>
      <c r="AH24" s="156" t="n"/>
      <c r="AI24" s="142" t="n"/>
      <c r="AJ24" s="4" t="n"/>
    </row>
    <row r="25" ht="59.25" customHeight="1" s="757">
      <c r="A25" s="7" t="inlineStr">
        <is>
          <t>AULA</t>
        </is>
      </c>
      <c r="B25" s="8" t="inlineStr">
        <is>
          <t>INICI</t>
        </is>
      </c>
      <c r="C25" s="8" t="inlineStr">
        <is>
          <t>FINAL</t>
        </is>
      </c>
      <c r="D25" s="8" t="inlineStr">
        <is>
          <t>AULA</t>
        </is>
      </c>
      <c r="E25" s="9" t="n">
        <v>44805</v>
      </c>
      <c r="F25" s="9" t="n">
        <v>44806</v>
      </c>
      <c r="G25" s="9" t="n">
        <v>44807</v>
      </c>
      <c r="H25" s="9" t="n">
        <v>44808</v>
      </c>
      <c r="I25" s="9" t="n">
        <v>44809</v>
      </c>
      <c r="J25" s="9" t="n">
        <v>44810</v>
      </c>
      <c r="K25" s="9" t="n">
        <v>44811</v>
      </c>
      <c r="L25" s="9" t="n">
        <v>44812</v>
      </c>
      <c r="M25" s="9" t="n">
        <v>44813</v>
      </c>
      <c r="N25" s="9" t="n">
        <v>44814</v>
      </c>
      <c r="O25" s="9" t="n">
        <v>44815</v>
      </c>
      <c r="P25" s="9" t="n">
        <v>44816</v>
      </c>
      <c r="Q25" s="9" t="n">
        <v>44817</v>
      </c>
      <c r="R25" s="9" t="n">
        <v>44818</v>
      </c>
      <c r="S25" s="9" t="n">
        <v>44819</v>
      </c>
      <c r="T25" s="9" t="n">
        <v>44820</v>
      </c>
      <c r="U25" s="9" t="n">
        <v>44821</v>
      </c>
      <c r="V25" s="9" t="n">
        <v>44822</v>
      </c>
      <c r="W25" s="9" t="n">
        <v>44823</v>
      </c>
      <c r="X25" s="9" t="n">
        <v>44824</v>
      </c>
      <c r="Y25" s="9" t="n">
        <v>44825</v>
      </c>
      <c r="Z25" s="9" t="n">
        <v>44826</v>
      </c>
      <c r="AA25" s="9" t="n">
        <v>44827</v>
      </c>
      <c r="AB25" s="9" t="n">
        <v>44828</v>
      </c>
      <c r="AC25" s="9" t="n">
        <v>44829</v>
      </c>
      <c r="AD25" s="9" t="n">
        <v>44830</v>
      </c>
      <c r="AE25" s="9" t="n">
        <v>44831</v>
      </c>
      <c r="AF25" s="9" t="n">
        <v>44832</v>
      </c>
      <c r="AG25" s="9" t="n">
        <v>44833</v>
      </c>
      <c r="AH25" s="9" t="n">
        <v>44834</v>
      </c>
      <c r="AI25" s="9" t="n"/>
      <c r="AJ25" s="4" t="n"/>
    </row>
    <row r="26" ht="15.75" customHeight="1" s="757">
      <c r="A26" s="10" t="inlineStr">
        <is>
          <t>GOOGLE MATINS</t>
        </is>
      </c>
      <c r="B26" s="11" t="n"/>
      <c r="C26" s="11" t="n"/>
      <c r="D26" s="12" t="n"/>
      <c r="E26" s="756" t="n"/>
      <c r="F26" s="756" t="n"/>
      <c r="G26" s="24" t="n"/>
      <c r="H26" s="24" t="n"/>
      <c r="I26" s="26" t="n"/>
      <c r="J26" s="756" t="n"/>
      <c r="K26" s="756" t="n"/>
      <c r="L26" s="756" t="n"/>
      <c r="M26" s="756" t="n"/>
      <c r="N26" s="24" t="n"/>
      <c r="O26" s="24" t="n"/>
      <c r="P26" s="756" t="n"/>
      <c r="Q26" s="756" t="n"/>
      <c r="R26" s="756" t="n"/>
      <c r="S26" s="756" t="n"/>
      <c r="T26" s="78" t="n"/>
      <c r="U26" s="79" t="n"/>
      <c r="V26" s="24" t="n"/>
      <c r="W26" s="34" t="inlineStr">
        <is>
          <t>MONTSE</t>
        </is>
      </c>
      <c r="X26" s="34" t="n"/>
      <c r="Y26" s="34" t="n"/>
      <c r="Z26" s="34" t="n"/>
      <c r="AA26" s="34" t="n"/>
      <c r="AB26" s="24" t="n"/>
      <c r="AC26" s="24" t="n"/>
      <c r="AD26" s="34" t="n"/>
      <c r="AE26" s="34" t="n"/>
      <c r="AF26" s="34" t="n"/>
      <c r="AG26" s="34" t="n"/>
      <c r="AH26" s="34" t="n"/>
      <c r="AI26" s="756" t="n"/>
      <c r="AJ26" s="4" t="n"/>
      <c r="AK26" s="54" t="inlineStr">
        <is>
          <t>(008)FCOI11 - Cerca i gestió de l ainformacio dig- MITJÀ</t>
        </is>
      </c>
      <c r="AL26" s="54" t="n"/>
      <c r="AM26" s="54" t="n"/>
      <c r="AN26" s="54" t="n"/>
      <c r="AO26" s="54" t="n"/>
      <c r="AP26" s="54" t="n"/>
      <c r="AQ26" s="54" t="n"/>
      <c r="AR26" s="54" t="n"/>
      <c r="AS26" s="54" t="n"/>
      <c r="AX26" s="657" t="n"/>
    </row>
    <row r="27" ht="15.75" customHeight="1" s="757">
      <c r="A27" s="14" t="inlineStr">
        <is>
          <t>FIREFOX MATINS</t>
        </is>
      </c>
      <c r="B27" s="15" t="n"/>
      <c r="C27" s="15" t="n"/>
      <c r="D27" s="15" t="n"/>
      <c r="E27" s="778" t="n"/>
      <c r="F27" s="778" t="n"/>
      <c r="G27" s="35" t="n"/>
      <c r="H27" s="35" t="n"/>
      <c r="I27" s="27" t="n"/>
      <c r="J27" s="778" t="n"/>
      <c r="K27" s="778" t="n"/>
      <c r="L27" s="778" t="n"/>
      <c r="M27" s="778" t="n"/>
      <c r="N27" s="35" t="n"/>
      <c r="O27" s="35" t="n"/>
      <c r="P27" s="778" t="n"/>
      <c r="Q27" s="778" t="n"/>
      <c r="R27" s="34" t="inlineStr">
        <is>
          <t>PERE</t>
        </is>
      </c>
      <c r="S27" s="34" t="n"/>
      <c r="T27" s="34" t="n"/>
      <c r="U27" s="24" t="n"/>
      <c r="V27" s="24" t="n"/>
      <c r="W27" s="34" t="n"/>
      <c r="X27" s="34" t="n"/>
      <c r="Y27" s="34" t="n"/>
      <c r="Z27" s="34" t="n"/>
      <c r="AA27" s="34" t="n"/>
      <c r="AB27" s="24" t="n"/>
      <c r="AC27" s="24" t="n"/>
      <c r="AD27" s="34" t="n"/>
      <c r="AE27" s="34" t="n"/>
      <c r="AF27" s="29" t="n"/>
      <c r="AG27" s="756" t="n"/>
      <c r="AH27" s="756" t="n"/>
      <c r="AI27" s="756" t="n"/>
      <c r="AJ27" s="4" t="n"/>
      <c r="AK27" s="698" t="inlineStr">
        <is>
          <t>(010)ADGG_IT03 - Fulls de Càlcul</t>
        </is>
      </c>
    </row>
    <row r="28" ht="15.75" customHeight="1" s="757">
      <c r="A28" s="17" t="inlineStr">
        <is>
          <t>GOOGLE TARDA</t>
        </is>
      </c>
      <c r="B28" s="18" t="n"/>
      <c r="C28" s="18" t="n"/>
      <c r="D28" s="18" t="n"/>
      <c r="E28" s="755" t="n"/>
      <c r="F28" s="755" t="n"/>
      <c r="G28" s="39" t="n"/>
      <c r="H28" s="39" t="n"/>
      <c r="I28" s="70" t="inlineStr">
        <is>
          <t>TERESA AGUILAR 12,30H+ grup victor C4 AVANÇAT 16 HORES</t>
        </is>
      </c>
      <c r="J28" s="71" t="inlineStr">
        <is>
          <t>ACTIC 10ª EDIC</t>
        </is>
      </c>
      <c r="K28" s="71" t="n"/>
      <c r="L28" s="72" t="n"/>
      <c r="M28" s="72" t="n"/>
      <c r="N28" s="39" t="n"/>
      <c r="O28" s="39" t="n"/>
      <c r="P28" s="72" t="inlineStr">
        <is>
          <t>ACTIC 11ª EDIC</t>
        </is>
      </c>
      <c r="Q28" s="72" t="n"/>
      <c r="R28" s="72" t="n"/>
      <c r="S28" s="72" t="n"/>
      <c r="T28" s="755" t="n"/>
      <c r="U28" s="39" t="n"/>
      <c r="V28" s="39" t="n"/>
      <c r="W28" s="80" t="inlineStr">
        <is>
          <t>PERE</t>
        </is>
      </c>
      <c r="X28" s="80" t="n"/>
      <c r="Y28" s="80" t="n"/>
      <c r="Z28" s="80" t="n"/>
      <c r="AA28" s="80" t="n"/>
      <c r="AB28" s="39" t="n"/>
      <c r="AC28" s="39" t="n"/>
      <c r="AD28" s="80" t="n"/>
      <c r="AE28" s="80" t="n"/>
      <c r="AF28" s="80" t="n"/>
      <c r="AG28" s="80" t="n"/>
      <c r="AH28" s="80" t="n"/>
      <c r="AI28" s="755" t="n"/>
      <c r="AJ28" s="4" t="n"/>
      <c r="AK28" s="54" t="inlineStr">
        <is>
          <t>(006)FCOI19- Com.i col.lbaoració eines digit- MITJÀ</t>
        </is>
      </c>
      <c r="AL28" s="54" t="n"/>
      <c r="AM28" s="54" t="n"/>
      <c r="AN28" s="54" t="n"/>
      <c r="AO28" s="54" t="n"/>
      <c r="AP28" s="54" t="n"/>
      <c r="AQ28" s="54" t="n"/>
      <c r="AR28" s="54" t="n"/>
      <c r="AS28" s="54" t="n"/>
      <c r="AW28" s="3" t="inlineStr">
        <is>
          <t>***EXAMEN ACTIC TERESA AGUILAR</t>
        </is>
      </c>
      <c r="AX28" s="3" t="n"/>
      <c r="AY28" s="3" t="n"/>
      <c r="AZ28" s="3" t="n"/>
      <c r="BA28" s="3" t="n"/>
      <c r="BB28" s="3" t="n"/>
    </row>
    <row r="29" ht="15.75" customHeight="1" s="757">
      <c r="A29" s="10" t="inlineStr">
        <is>
          <t>FIREFOX TARDA</t>
        </is>
      </c>
      <c r="B29" s="11" t="n"/>
      <c r="C29" s="11" t="n"/>
      <c r="D29" s="12" t="n"/>
      <c r="E29" s="756" t="n"/>
      <c r="F29" s="756" t="n"/>
      <c r="G29" s="24" t="n"/>
      <c r="H29" s="24" t="n"/>
      <c r="I29" s="26" t="n"/>
      <c r="J29" s="756" t="n"/>
      <c r="K29" s="756" t="n"/>
      <c r="L29" s="31" t="inlineStr">
        <is>
          <t>C6 AVAN</t>
        </is>
      </c>
      <c r="M29" s="756" t="n"/>
      <c r="N29" s="24" t="n"/>
      <c r="O29" s="24" t="n"/>
      <c r="P29" s="756" t="n"/>
      <c r="Q29" s="756" t="n"/>
      <c r="R29" s="31" t="n"/>
      <c r="S29" s="756" t="inlineStr">
        <is>
          <t>*actic?</t>
        </is>
      </c>
      <c r="T29" s="756" t="n"/>
      <c r="U29" s="24" t="n"/>
      <c r="V29" s="24" t="n"/>
      <c r="W29" s="32" t="n"/>
      <c r="X29" s="32" t="n"/>
      <c r="Y29" s="32" t="n"/>
      <c r="Z29" s="32" t="n"/>
      <c r="AA29" s="32" t="n"/>
      <c r="AB29" s="24" t="n"/>
      <c r="AC29" s="24" t="n"/>
      <c r="AD29" s="32" t="n"/>
      <c r="AE29" s="32" t="n"/>
      <c r="AF29" s="33" t="n"/>
      <c r="AG29" s="32" t="n"/>
      <c r="AH29" s="756" t="n"/>
      <c r="AI29" s="756" t="n"/>
      <c r="AJ29" s="4" t="n"/>
      <c r="AK29" s="116" t="inlineStr">
        <is>
          <t>PROVA ACCES OPEN SOURCE (+TALENT)</t>
        </is>
      </c>
      <c r="AL29" s="116" t="n"/>
      <c r="AM29" s="116" t="n"/>
      <c r="AN29" s="116" t="n"/>
      <c r="AO29" s="116" t="n"/>
      <c r="AP29" s="116" t="n"/>
      <c r="AQ29" s="116" t="n"/>
      <c r="AR29" s="116" t="n"/>
      <c r="AS29" s="774" t="n"/>
      <c r="AT29" s="774" t="n"/>
      <c r="AU29" s="774" t="n"/>
      <c r="AV29" s="774" t="n"/>
      <c r="AW29" s="51" t="inlineStr">
        <is>
          <t>EXAMEN C6 - AVANÇAT</t>
        </is>
      </c>
      <c r="AX29" s="51" t="n"/>
      <c r="AY29" s="51" t="n"/>
      <c r="AZ29" s="51" t="n"/>
    </row>
    <row r="30" ht="15.75" customHeight="1" s="757">
      <c r="A30" s="10" t="inlineStr">
        <is>
          <t>TARRAGONA MATI</t>
        </is>
      </c>
      <c r="B30" s="11" t="n"/>
      <c r="C30" s="11" t="n"/>
      <c r="D30" s="12" t="n"/>
      <c r="E30" s="756" t="n"/>
      <c r="F30" s="756" t="n"/>
      <c r="G30" s="24" t="n"/>
      <c r="H30" s="24" t="n"/>
      <c r="I30" s="26" t="n"/>
      <c r="J30" s="756" t="n"/>
      <c r="K30" s="756" t="n"/>
      <c r="L30" s="756" t="n"/>
      <c r="M30" s="756" t="n"/>
      <c r="N30" s="24" t="n"/>
      <c r="O30" s="24" t="n"/>
      <c r="P30" s="756" t="n"/>
      <c r="Q30" s="73" t="n"/>
      <c r="R30" s="756" t="n"/>
      <c r="S30" s="73" t="n"/>
      <c r="T30" s="756" t="n"/>
      <c r="U30" s="24" t="n"/>
      <c r="V30" s="24" t="n"/>
      <c r="W30" s="756" t="n"/>
      <c r="X30" s="73" t="n"/>
      <c r="Y30" s="756" t="n"/>
      <c r="Z30" s="73" t="n"/>
      <c r="AA30" s="26" t="n"/>
      <c r="AB30" s="24" t="n"/>
      <c r="AC30" s="24" t="n"/>
      <c r="AD30" s="756" t="n"/>
      <c r="AE30" s="756" t="n"/>
      <c r="AF30" s="756" t="n"/>
      <c r="AG30" s="756" t="n"/>
      <c r="AH30" s="756" t="n"/>
      <c r="AI30" s="756" t="n"/>
      <c r="AJ30" s="4" t="n"/>
      <c r="AK30" s="668" t="n"/>
      <c r="AR30" s="55" t="inlineStr">
        <is>
          <t>TALLER OFFICE 365 ED.2</t>
        </is>
      </c>
      <c r="AS30" s="55" t="n"/>
      <c r="AT30" s="55" t="n"/>
      <c r="AU30" s="55" t="n"/>
      <c r="AV30" s="55" t="n"/>
    </row>
    <row r="31" ht="15.75" customHeight="1" s="757">
      <c r="A31" s="25" t="inlineStr">
        <is>
          <t>on line</t>
        </is>
      </c>
      <c r="B31" s="11" t="n"/>
      <c r="C31" s="11" t="n"/>
      <c r="D31" s="12" t="n"/>
      <c r="E31" s="43" t="n"/>
      <c r="F31" s="43" t="n"/>
      <c r="G31" s="24" t="n"/>
      <c r="H31" s="24" t="n"/>
      <c r="I31" s="26" t="n"/>
      <c r="J31" s="43" t="n"/>
      <c r="K31" s="43" t="n"/>
      <c r="L31" s="43" t="n"/>
      <c r="M31" s="43" t="n"/>
      <c r="N31" s="24" t="n"/>
      <c r="O31" s="24" t="n"/>
      <c r="P31" s="43" t="n"/>
      <c r="Q31" s="43" t="n"/>
      <c r="R31" s="43" t="n"/>
      <c r="S31" s="43" t="n"/>
      <c r="T31" s="43" t="n"/>
      <c r="U31" s="24" t="n"/>
      <c r="V31" s="24" t="n"/>
      <c r="W31" s="43" t="n"/>
      <c r="X31" s="43" t="n"/>
      <c r="Y31" s="43" t="n"/>
      <c r="Z31" s="26" t="n"/>
      <c r="AA31" s="26" t="n"/>
      <c r="AB31" s="24" t="n"/>
      <c r="AC31" s="24" t="n"/>
      <c r="AD31" s="43" t="n"/>
      <c r="AE31" s="43" t="n"/>
      <c r="AF31" s="43" t="n"/>
      <c r="AG31" s="43" t="n"/>
      <c r="AH31" s="43" t="n"/>
      <c r="AI31" s="756" t="n"/>
      <c r="AJ31" s="4" t="n"/>
      <c r="AK31" s="696" t="inlineStr">
        <is>
          <t>FRONT END 240H (grup 4)</t>
        </is>
      </c>
    </row>
    <row r="32" ht="15.75" customHeight="1" s="757">
      <c r="A32" s="25" t="inlineStr">
        <is>
          <t>on line</t>
        </is>
      </c>
      <c r="B32" s="11" t="n"/>
      <c r="C32" s="11" t="n"/>
      <c r="D32" s="12" t="n"/>
      <c r="E32" s="38" t="n"/>
      <c r="F32" s="38" t="n"/>
      <c r="G32" s="24" t="n"/>
      <c r="H32" s="24" t="n"/>
      <c r="I32" s="38" t="n"/>
      <c r="J32" s="38" t="n"/>
      <c r="K32" s="38" t="n"/>
      <c r="L32" s="38" t="n"/>
      <c r="M32" s="38" t="n"/>
      <c r="N32" s="24" t="n"/>
      <c r="O32" s="24" t="n"/>
      <c r="P32" s="38" t="n"/>
      <c r="Q32" s="38" t="n"/>
      <c r="R32" s="38" t="n"/>
      <c r="S32" s="38" t="n"/>
      <c r="T32" s="38" t="n"/>
      <c r="U32" s="24" t="n"/>
      <c r="V32" s="24" t="n"/>
      <c r="W32" s="38" t="n"/>
      <c r="X32" s="38" t="n"/>
      <c r="Y32" s="38" t="n"/>
      <c r="Z32" s="38" t="n"/>
      <c r="AA32" s="26" t="n"/>
      <c r="AB32" s="24" t="n"/>
      <c r="AC32" s="24" t="n"/>
      <c r="AD32" s="38" t="n"/>
      <c r="AE32" s="38" t="n"/>
      <c r="AF32" s="38" t="n"/>
      <c r="AG32" s="38" t="n"/>
      <c r="AH32" s="38" t="n"/>
      <c r="AI32" s="756" t="n"/>
      <c r="AJ32" s="4" t="n"/>
      <c r="AK32" s="700" t="inlineStr">
        <is>
          <t>ANDROID</t>
        </is>
      </c>
    </row>
    <row r="33" ht="15.75" customHeight="1" s="757">
      <c r="A33" s="25" t="inlineStr">
        <is>
          <t>on line</t>
        </is>
      </c>
      <c r="B33" s="11" t="n"/>
      <c r="C33" s="11" t="n"/>
      <c r="D33" s="12" t="n"/>
      <c r="E33" s="30" t="n"/>
      <c r="F33" s="30" t="n"/>
      <c r="G33" s="24" t="n"/>
      <c r="H33" s="24" t="n"/>
      <c r="I33" s="30" t="n"/>
      <c r="J33" s="30" t="n"/>
      <c r="K33" s="30" t="n"/>
      <c r="L33" s="30" t="n"/>
      <c r="M33" s="30" t="n"/>
      <c r="N33" s="24" t="n"/>
      <c r="O33" s="24" t="n"/>
      <c r="P33" s="30" t="n"/>
      <c r="Q33" s="30" t="n"/>
      <c r="R33" s="30" t="n"/>
      <c r="S33" s="30" t="n"/>
      <c r="T33" s="30" t="n"/>
      <c r="U33" s="24" t="n"/>
      <c r="V33" s="24" t="n"/>
      <c r="W33" s="30" t="n"/>
      <c r="X33" s="30" t="n"/>
      <c r="Y33" s="30" t="n"/>
      <c r="Z33" s="30" t="n"/>
      <c r="AA33" s="26" t="n"/>
      <c r="AB33" s="24" t="n"/>
      <c r="AC33" s="24" t="n"/>
      <c r="AD33" s="30" t="n"/>
      <c r="AE33" s="30" t="n"/>
      <c r="AF33" s="30" t="n"/>
      <c r="AG33" s="30" t="n"/>
      <c r="AH33" s="30" t="n"/>
      <c r="AI33" s="756" t="n"/>
      <c r="AJ33" s="4" t="n"/>
      <c r="AK33" s="690" t="inlineStr">
        <is>
          <t>JAVA 240H</t>
        </is>
      </c>
    </row>
    <row r="34" ht="15.75" customHeight="1" s="757">
      <c r="A34" s="25" t="inlineStr">
        <is>
          <t>on line</t>
        </is>
      </c>
      <c r="B34" s="11" t="n"/>
      <c r="C34" s="11" t="n"/>
      <c r="D34" s="12" t="n"/>
      <c r="E34" s="67" t="n"/>
      <c r="F34" s="67" t="n"/>
      <c r="G34" s="24" t="n"/>
      <c r="H34" s="24" t="n"/>
      <c r="I34" s="67" t="n"/>
      <c r="J34" s="67" t="n"/>
      <c r="K34" s="67" t="n"/>
      <c r="L34" s="67" t="n"/>
      <c r="M34" s="67" t="n"/>
      <c r="N34" s="24" t="n"/>
      <c r="O34" s="24" t="n"/>
      <c r="P34" s="67" t="n"/>
      <c r="Q34" s="67" t="n"/>
      <c r="R34" s="67" t="n"/>
      <c r="S34" s="67" t="n"/>
      <c r="T34" s="67" t="n"/>
      <c r="U34" s="24" t="n"/>
      <c r="V34" s="24" t="n"/>
      <c r="W34" s="67" t="n"/>
      <c r="X34" s="67" t="n"/>
      <c r="Y34" s="67" t="n"/>
      <c r="Z34" s="67" t="n"/>
      <c r="AA34" s="26" t="n"/>
      <c r="AB34" s="24" t="n"/>
      <c r="AC34" s="24" t="n"/>
      <c r="AD34" s="67" t="n"/>
      <c r="AE34" s="67" t="n"/>
      <c r="AF34" s="67" t="n"/>
      <c r="AG34" s="67" t="n"/>
      <c r="AH34" s="67" t="n"/>
      <c r="AI34" s="756" t="n"/>
      <c r="AJ34" s="4" t="n"/>
      <c r="AK34" s="691" t="inlineStr">
        <is>
          <t>OPEN SOURCE 240H</t>
        </is>
      </c>
    </row>
    <row r="35" ht="18.75" customHeight="1" s="757">
      <c r="A35" s="788" t="inlineStr">
        <is>
          <t>OCTUBRE</t>
        </is>
      </c>
      <c r="B35" s="156" t="n"/>
      <c r="C35" s="156" t="n"/>
      <c r="D35" s="156" t="n"/>
      <c r="E35" s="156" t="n"/>
      <c r="F35" s="156" t="n"/>
      <c r="G35" s="156" t="n"/>
      <c r="H35" s="156" t="n"/>
      <c r="I35" s="156" t="n"/>
      <c r="J35" s="156" t="n"/>
      <c r="K35" s="156" t="n"/>
      <c r="L35" s="156" t="n"/>
      <c r="M35" s="156" t="n"/>
      <c r="N35" s="156" t="n"/>
      <c r="O35" s="156" t="n"/>
      <c r="P35" s="156" t="n"/>
      <c r="Q35" s="156" t="n"/>
      <c r="R35" s="156" t="n"/>
      <c r="S35" s="156" t="n"/>
      <c r="T35" s="156" t="n"/>
      <c r="U35" s="156" t="n"/>
      <c r="V35" s="156" t="n"/>
      <c r="W35" s="156" t="n"/>
      <c r="X35" s="156" t="n"/>
      <c r="Y35" s="156" t="n"/>
      <c r="Z35" s="156" t="n"/>
      <c r="AA35" s="156" t="n"/>
      <c r="AB35" s="156" t="n"/>
      <c r="AC35" s="156" t="n"/>
      <c r="AD35" s="156" t="n"/>
      <c r="AE35" s="156" t="n"/>
      <c r="AF35" s="156" t="n"/>
      <c r="AG35" s="156" t="n"/>
      <c r="AH35" s="156" t="n"/>
      <c r="AI35" s="142" t="n"/>
      <c r="AJ35" s="4" t="n"/>
    </row>
    <row r="36" ht="64.5" customHeight="1" s="757">
      <c r="A36" s="7" t="inlineStr">
        <is>
          <t>AULA</t>
        </is>
      </c>
      <c r="B36" s="8" t="inlineStr">
        <is>
          <t>INICI</t>
        </is>
      </c>
      <c r="C36" s="8" t="inlineStr">
        <is>
          <t>FINAL</t>
        </is>
      </c>
      <c r="D36" s="8" t="inlineStr">
        <is>
          <t>AULA</t>
        </is>
      </c>
      <c r="E36" s="9" t="n">
        <v>44835</v>
      </c>
      <c r="F36" s="9" t="n">
        <v>44836</v>
      </c>
      <c r="G36" s="9" t="n">
        <v>44837</v>
      </c>
      <c r="H36" s="9" t="n">
        <v>44838</v>
      </c>
      <c r="I36" s="9" t="n">
        <v>44839</v>
      </c>
      <c r="J36" s="9" t="n">
        <v>44840</v>
      </c>
      <c r="K36" s="9" t="n">
        <v>44841</v>
      </c>
      <c r="L36" s="9" t="n">
        <v>44842</v>
      </c>
      <c r="M36" s="9" t="n">
        <v>44843</v>
      </c>
      <c r="N36" s="9" t="n">
        <v>44844</v>
      </c>
      <c r="O36" s="9" t="n">
        <v>44845</v>
      </c>
      <c r="P36" s="9" t="n">
        <v>44846</v>
      </c>
      <c r="Q36" s="9" t="n">
        <v>44847</v>
      </c>
      <c r="R36" s="9" t="n">
        <v>44848</v>
      </c>
      <c r="S36" s="9" t="n">
        <v>44849</v>
      </c>
      <c r="T36" s="9" t="n">
        <v>44850</v>
      </c>
      <c r="U36" s="9" t="n">
        <v>44851</v>
      </c>
      <c r="V36" s="9" t="n">
        <v>44852</v>
      </c>
      <c r="W36" s="9" t="n">
        <v>44853</v>
      </c>
      <c r="X36" s="9" t="n">
        <v>44854</v>
      </c>
      <c r="Y36" s="9" t="n">
        <v>44855</v>
      </c>
      <c r="Z36" s="9" t="n">
        <v>44856</v>
      </c>
      <c r="AA36" s="9" t="n">
        <v>44857</v>
      </c>
      <c r="AB36" s="9" t="n">
        <v>44858</v>
      </c>
      <c r="AC36" s="9" t="n">
        <v>44859</v>
      </c>
      <c r="AD36" s="9" t="n">
        <v>44860</v>
      </c>
      <c r="AE36" s="9" t="n">
        <v>44861</v>
      </c>
      <c r="AF36" s="9" t="n">
        <v>44862</v>
      </c>
      <c r="AG36" s="9" t="n">
        <v>44863</v>
      </c>
      <c r="AH36" s="9" t="n">
        <v>44864</v>
      </c>
      <c r="AI36" s="9" t="n">
        <v>44865</v>
      </c>
      <c r="AJ36" s="4" t="n"/>
    </row>
    <row r="37" ht="15.75" customHeight="1" s="757">
      <c r="A37" s="10" t="inlineStr">
        <is>
          <t>GOOGLE MATINS</t>
        </is>
      </c>
      <c r="B37" s="11" t="n"/>
      <c r="C37" s="11" t="n"/>
      <c r="D37" s="12" t="n"/>
      <c r="E37" s="24" t="n"/>
      <c r="F37" s="24" t="n"/>
      <c r="G37" s="32" t="n"/>
      <c r="H37" s="32" t="n"/>
      <c r="I37" s="32" t="n"/>
      <c r="J37" s="33" t="n"/>
      <c r="K37" s="33" t="n"/>
      <c r="L37" s="24" t="n"/>
      <c r="M37" s="24" t="n"/>
      <c r="N37" s="33" t="n"/>
      <c r="O37" s="33" t="n"/>
      <c r="P37" s="26" t="n"/>
      <c r="Q37" s="33" t="n"/>
      <c r="R37" s="33" t="n"/>
      <c r="S37" s="24" t="n"/>
      <c r="T37" s="24" t="n"/>
      <c r="U37" s="33" t="n"/>
      <c r="V37" s="33" t="n"/>
      <c r="W37" s="33" t="n"/>
      <c r="X37" s="33" t="n"/>
      <c r="Y37" s="33" t="n"/>
      <c r="Z37" s="24" t="n"/>
      <c r="AA37" s="24" t="n"/>
      <c r="AB37" s="33" t="n"/>
      <c r="AC37" s="33" t="n"/>
      <c r="AD37" s="33" t="n"/>
      <c r="AE37" s="33" t="n"/>
      <c r="AF37" s="33" t="n"/>
      <c r="AG37" s="24" t="n"/>
      <c r="AH37" s="24" t="n"/>
      <c r="AI37" s="75" t="n"/>
      <c r="AJ37" s="4" t="n"/>
      <c r="AK37" s="683" t="inlineStr">
        <is>
          <t>OPEN SOURCE BACK - SOC MES TALENT</t>
        </is>
      </c>
    </row>
    <row r="38" ht="15.75" customHeight="1" s="757">
      <c r="A38" s="14" t="inlineStr">
        <is>
          <t>FIREFOX MATINS</t>
        </is>
      </c>
      <c r="B38" s="15" t="n"/>
      <c r="C38" s="15" t="n"/>
      <c r="D38" s="15" t="n"/>
      <c r="E38" s="35" t="n"/>
      <c r="F38" s="35" t="n"/>
      <c r="G38" s="68" t="inlineStr">
        <is>
          <t>PERE</t>
        </is>
      </c>
      <c r="H38" s="68" t="n"/>
      <c r="I38" s="68" t="n"/>
      <c r="J38" s="68" t="n"/>
      <c r="K38" s="68" t="n"/>
      <c r="L38" s="35" t="n"/>
      <c r="M38" s="35" t="n"/>
      <c r="N38" s="68" t="n"/>
      <c r="O38" s="68" t="n"/>
      <c r="P38" s="27" t="n"/>
      <c r="Q38" s="68" t="n"/>
      <c r="R38" s="68" t="n"/>
      <c r="S38" s="35" t="n"/>
      <c r="T38" s="35" t="n"/>
      <c r="U38" s="81" t="n"/>
      <c r="V38" s="107" t="n"/>
      <c r="W38" s="108" t="n"/>
      <c r="X38" s="82" t="inlineStr">
        <is>
          <t>PERE</t>
        </is>
      </c>
      <c r="Y38" s="82" t="n"/>
      <c r="Z38" s="35" t="n"/>
      <c r="AA38" s="35" t="n"/>
      <c r="AB38" s="82" t="n"/>
      <c r="AC38" s="82" t="n"/>
      <c r="AD38" s="82" t="n"/>
      <c r="AE38" s="82" t="n"/>
      <c r="AF38" s="82" t="n"/>
      <c r="AG38" s="35" t="n"/>
      <c r="AH38" s="35" t="n"/>
      <c r="AI38" s="83" t="n"/>
      <c r="AJ38" s="4" t="n"/>
      <c r="AK38" s="54" t="inlineStr">
        <is>
          <t>(002)IFCM_ITI02- Eines Google i ...</t>
        </is>
      </c>
      <c r="AL38" s="54" t="n"/>
      <c r="AM38" s="54" t="n"/>
      <c r="AN38" s="54" t="n"/>
      <c r="AO38" s="54" t="n"/>
      <c r="AP38" s="54" t="n"/>
      <c r="AR38" s="698" t="inlineStr">
        <is>
          <t>(009)FCOI15- ACTIC- Creació continguts</t>
        </is>
      </c>
    </row>
    <row r="39" ht="15.75" customHeight="1" s="757">
      <c r="A39" s="17" t="inlineStr">
        <is>
          <t>GOOGLE TARDA</t>
        </is>
      </c>
      <c r="B39" s="18" t="n"/>
      <c r="C39" s="18" t="n"/>
      <c r="D39" s="18" t="n"/>
      <c r="E39" s="39" t="n"/>
      <c r="F39" s="39" t="n"/>
      <c r="G39" s="100" t="n"/>
      <c r="H39" s="101" t="n"/>
      <c r="I39" s="40" t="n"/>
      <c r="J39" s="105" t="n"/>
      <c r="K39" s="40" t="n"/>
      <c r="L39" s="39" t="n"/>
      <c r="M39" s="39" t="n"/>
      <c r="N39" s="106" t="n"/>
      <c r="O39" s="755" t="n"/>
      <c r="P39" s="28" t="n"/>
      <c r="Q39" s="755" t="n"/>
      <c r="R39" s="755" t="n"/>
      <c r="S39" s="39" t="n"/>
      <c r="T39" s="39" t="n"/>
      <c r="U39" s="34" t="inlineStr">
        <is>
          <t>PERE</t>
        </is>
      </c>
      <c r="V39" s="34" t="n"/>
      <c r="W39" s="34" t="n"/>
      <c r="X39" s="34" t="n"/>
      <c r="Y39" s="34" t="n"/>
      <c r="Z39" s="39" t="n"/>
      <c r="AA39" s="39" t="n"/>
      <c r="AB39" s="34" t="n"/>
      <c r="AC39" s="34" t="n"/>
      <c r="AD39" s="34" t="n"/>
      <c r="AE39" s="34" t="n"/>
      <c r="AF39" s="34" t="n"/>
      <c r="AG39" s="39" t="n"/>
      <c r="AH39" s="39" t="n"/>
      <c r="AI39" s="77" t="n"/>
      <c r="AJ39" s="4" t="n"/>
      <c r="AK39" s="698" t="inlineStr">
        <is>
          <t>(007)FCOI24- ACTIC-Seguretat i civisme</t>
        </is>
      </c>
      <c r="AS39" s="699" t="inlineStr">
        <is>
          <t>examen android 15:30h</t>
        </is>
      </c>
      <c r="AX39" s="61" t="inlineStr">
        <is>
          <t>EXAMEN ACTIC (EXTRAORDINARI)</t>
        </is>
      </c>
      <c r="AY39" s="61" t="n"/>
      <c r="AZ39" s="61" t="n"/>
      <c r="BA39" s="61" t="n"/>
      <c r="BB39" s="61" t="n"/>
      <c r="BC39" s="61" t="n"/>
      <c r="BE39" s="61" t="inlineStr">
        <is>
          <t>EXAMEN 10ª CONVOCATORIA ACTIC</t>
        </is>
      </c>
      <c r="BF39" s="61" t="n"/>
      <c r="BG39" s="61" t="n"/>
      <c r="BH39" s="61" t="n"/>
      <c r="BI39" s="61" t="n"/>
      <c r="BJ39" s="61" t="n"/>
      <c r="BK39" s="61" t="n"/>
      <c r="BM39" s="83" t="inlineStr">
        <is>
          <t>examen front 4 15:30h</t>
        </is>
      </c>
    </row>
    <row r="40" ht="15.75" customHeight="1" s="757">
      <c r="A40" s="10" t="inlineStr">
        <is>
          <t>FIREFOX TARDA</t>
        </is>
      </c>
      <c r="B40" s="11" t="n"/>
      <c r="C40" s="11" t="n"/>
      <c r="D40" s="12" t="n"/>
      <c r="E40" s="24" t="n"/>
      <c r="F40" s="24" t="n"/>
      <c r="G40" s="32" t="n"/>
      <c r="H40" s="756" t="n"/>
      <c r="I40" s="32" t="n"/>
      <c r="J40" s="29" t="n"/>
      <c r="K40" s="756" t="n"/>
      <c r="L40" s="24" t="n"/>
      <c r="M40" s="24" t="n"/>
      <c r="N40" s="32" t="n"/>
      <c r="O40" s="756" t="n"/>
      <c r="P40" s="26" t="n"/>
      <c r="Q40" s="756" t="n"/>
      <c r="R40" s="29" t="n"/>
      <c r="S40" s="24" t="n"/>
      <c r="T40" s="24" t="n"/>
      <c r="U40" s="32" t="n"/>
      <c r="V40" s="32" t="n"/>
      <c r="W40" s="32" t="n"/>
      <c r="X40" s="32" t="n"/>
      <c r="Y40" s="42" t="n"/>
      <c r="Z40" s="24" t="n"/>
      <c r="AA40" s="24" t="n"/>
      <c r="AB40" s="111" t="n"/>
      <c r="AC40" s="111" t="n"/>
      <c r="AD40" s="26" t="n"/>
      <c r="AE40" s="26" t="n"/>
      <c r="AF40" s="112" t="n"/>
      <c r="AG40" s="24" t="n"/>
      <c r="AH40" s="24" t="n"/>
      <c r="AI40" s="75" t="n"/>
      <c r="AJ40" s="4" t="n"/>
      <c r="AK40" s="692" t="inlineStr">
        <is>
          <t>VAM-FORMACIÓ (PRIMERS AUXILIS)</t>
        </is>
      </c>
      <c r="AS40" s="693" t="inlineStr">
        <is>
          <t>examen open/java 15:30h</t>
        </is>
      </c>
      <c r="BA40" s="112" t="inlineStr">
        <is>
          <t>OPER CARRETONS</t>
        </is>
      </c>
      <c r="BB40" s="112" t="n"/>
      <c r="BC40" s="112" t="n"/>
      <c r="BD40" s="112" t="n"/>
    </row>
    <row r="41" ht="15.75" customHeight="1" s="757">
      <c r="A41" s="10" t="inlineStr">
        <is>
          <t xml:space="preserve">TARRAGONA </t>
        </is>
      </c>
      <c r="B41" s="11" t="n"/>
      <c r="C41" s="11" t="n"/>
      <c r="D41" s="12" t="n"/>
      <c r="E41" s="24" t="n"/>
      <c r="F41" s="24" t="n"/>
      <c r="G41" s="756" t="n"/>
      <c r="H41" s="756" t="n"/>
      <c r="I41" s="32" t="n"/>
      <c r="J41" s="756" t="n"/>
      <c r="K41" s="756" t="n"/>
      <c r="L41" s="24" t="n"/>
      <c r="M41" s="24" t="n"/>
      <c r="N41" s="32" t="n"/>
      <c r="O41" s="756" t="n"/>
      <c r="P41" s="26" t="n"/>
      <c r="Q41" s="756" t="n"/>
      <c r="R41" s="109" t="n"/>
      <c r="S41" s="24" t="n"/>
      <c r="T41" s="24" t="n"/>
      <c r="U41" s="756" t="n"/>
      <c r="V41" s="756" t="n"/>
      <c r="W41" s="37" t="n"/>
      <c r="X41" s="756" t="n"/>
      <c r="Y41" s="109" t="n"/>
      <c r="Z41" s="24" t="n"/>
      <c r="AA41" s="24" t="n"/>
      <c r="AB41" s="37" t="n"/>
      <c r="AC41" s="113" t="inlineStr">
        <is>
          <t>TORREDEM</t>
        </is>
      </c>
      <c r="AD41" s="113" t="n"/>
      <c r="AE41" s="113" t="n"/>
      <c r="AF41" s="113" t="n"/>
      <c r="AG41" s="24" t="n"/>
      <c r="AH41" s="24" t="n"/>
      <c r="AI41" s="75" t="n"/>
      <c r="AJ41" s="4" t="n"/>
      <c r="AK41" s="694" t="inlineStr">
        <is>
          <t>POWER AUTOMATE</t>
        </is>
      </c>
      <c r="AO41" s="668" t="n"/>
      <c r="AP41" s="668" t="n"/>
      <c r="AR41" s="55" t="inlineStr">
        <is>
          <t>TALLER OFFICE ED.</t>
        </is>
      </c>
      <c r="AS41" s="55" t="n"/>
      <c r="AT41" s="55" t="n"/>
      <c r="AU41" s="55" t="n"/>
      <c r="BA41" s="695" t="inlineStr">
        <is>
          <t>CIBERSEGURETAT PIMEC 9-14</t>
        </is>
      </c>
    </row>
    <row r="42" ht="15.75" customHeight="1" s="757">
      <c r="A42" s="25" t="inlineStr">
        <is>
          <t>online</t>
        </is>
      </c>
      <c r="B42" s="11" t="n"/>
      <c r="C42" s="11" t="n"/>
      <c r="D42" s="12" t="n"/>
      <c r="E42" s="24" t="n"/>
      <c r="F42" s="24" t="n"/>
      <c r="G42" s="43" t="n"/>
      <c r="H42" s="43" t="n"/>
      <c r="I42" s="43" t="n"/>
      <c r="J42" s="43" t="n"/>
      <c r="K42" s="43" t="n"/>
      <c r="L42" s="24" t="n"/>
      <c r="M42" s="24" t="n"/>
      <c r="N42" s="43" t="n"/>
      <c r="O42" s="43" t="n"/>
      <c r="P42" s="26" t="n"/>
      <c r="Q42" s="43" t="n"/>
      <c r="R42" s="43" t="n"/>
      <c r="S42" s="24" t="n"/>
      <c r="T42" s="24" t="n"/>
      <c r="U42" s="756" t="n"/>
      <c r="V42" s="756" t="n"/>
      <c r="W42" s="756" t="n"/>
      <c r="X42" s="756" t="n"/>
      <c r="Y42" s="756" t="n"/>
      <c r="Z42" s="24" t="n"/>
      <c r="AA42" s="24" t="n"/>
      <c r="AB42" s="756" t="n"/>
      <c r="AC42" s="756" t="n"/>
      <c r="AD42" s="756" t="n"/>
      <c r="AE42" s="756" t="n"/>
      <c r="AF42" s="756" t="n"/>
      <c r="AG42" s="24" t="n"/>
      <c r="AH42" s="24" t="n"/>
      <c r="AI42" s="75" t="n"/>
      <c r="AJ42" s="4" t="n"/>
      <c r="AK42" s="696" t="inlineStr">
        <is>
          <t>FRONT END 240H (grup 4)</t>
        </is>
      </c>
    </row>
    <row r="43" ht="15.75" customHeight="1" s="757">
      <c r="A43" s="25" t="inlineStr">
        <is>
          <t>online</t>
        </is>
      </c>
      <c r="B43" s="11" t="n"/>
      <c r="C43" s="11" t="n"/>
      <c r="D43" s="12" t="n"/>
      <c r="E43" s="24" t="n"/>
      <c r="F43" s="24" t="n"/>
      <c r="G43" s="38" t="n"/>
      <c r="H43" s="38" t="n"/>
      <c r="I43" s="38" t="n"/>
      <c r="J43" s="38" t="n"/>
      <c r="K43" s="38" t="n"/>
      <c r="L43" s="24" t="n"/>
      <c r="M43" s="24" t="n"/>
      <c r="N43" s="38" t="n"/>
      <c r="O43" s="38" t="n"/>
      <c r="P43" s="26" t="n"/>
      <c r="Q43" s="38" t="n"/>
      <c r="R43" s="38" t="n"/>
      <c r="S43" s="24" t="n"/>
      <c r="T43" s="24" t="n"/>
      <c r="U43" s="756" t="n"/>
      <c r="V43" s="756" t="n"/>
      <c r="W43" s="756" t="n"/>
      <c r="X43" s="756" t="n"/>
      <c r="Y43" s="756" t="n"/>
      <c r="Z43" s="24" t="n"/>
      <c r="AA43" s="24" t="n"/>
      <c r="AB43" s="756" t="n"/>
      <c r="AC43" s="756" t="n"/>
      <c r="AD43" s="756" t="n"/>
      <c r="AE43" s="756" t="n"/>
      <c r="AF43" s="756" t="n"/>
      <c r="AG43" s="24" t="n"/>
      <c r="AH43" s="24" t="n"/>
      <c r="AI43" s="75" t="n"/>
      <c r="AJ43" s="4" t="n"/>
      <c r="AK43" s="689" t="inlineStr">
        <is>
          <t>ANDROID</t>
        </is>
      </c>
    </row>
    <row r="44" ht="15.75" customHeight="1" s="757">
      <c r="A44" s="25" t="inlineStr">
        <is>
          <t>online</t>
        </is>
      </c>
      <c r="B44" s="11" t="n"/>
      <c r="C44" s="11" t="n"/>
      <c r="D44" s="12" t="n"/>
      <c r="E44" s="24" t="n"/>
      <c r="F44" s="24" t="n"/>
      <c r="G44" s="30" t="n"/>
      <c r="H44" s="30" t="n"/>
      <c r="I44" s="30" t="n"/>
      <c r="J44" s="30" t="n"/>
      <c r="K44" s="30" t="n"/>
      <c r="L44" s="24" t="n"/>
      <c r="M44" s="24" t="n"/>
      <c r="N44" s="30" t="n"/>
      <c r="O44" s="30" t="n"/>
      <c r="P44" s="26" t="n"/>
      <c r="Q44" s="30" t="n"/>
      <c r="R44" s="30" t="n"/>
      <c r="S44" s="24" t="n"/>
      <c r="T44" s="24" t="n"/>
      <c r="U44" s="30" t="n"/>
      <c r="V44" s="30" t="n"/>
      <c r="W44" s="30" t="n"/>
      <c r="X44" s="30" t="n"/>
      <c r="Y44" s="30" t="n"/>
      <c r="Z44" s="24" t="n"/>
      <c r="AA44" s="24" t="n"/>
      <c r="AB44" s="30" t="n"/>
      <c r="AC44" s="30" t="n"/>
      <c r="AD44" s="30" t="n"/>
      <c r="AE44" s="30" t="n"/>
      <c r="AF44" s="30" t="n"/>
      <c r="AG44" s="24" t="n"/>
      <c r="AH44" s="24" t="n"/>
      <c r="AI44" s="75" t="n"/>
      <c r="AJ44" s="4" t="n"/>
      <c r="AK44" s="690" t="inlineStr">
        <is>
          <t>JAVA 240H</t>
        </is>
      </c>
    </row>
    <row r="45" ht="15.75" customHeight="1" s="757">
      <c r="A45" s="25" t="inlineStr">
        <is>
          <t>online</t>
        </is>
      </c>
      <c r="B45" s="11" t="n"/>
      <c r="C45" s="11" t="n"/>
      <c r="D45" s="12" t="n"/>
      <c r="E45" s="24" t="n"/>
      <c r="F45" s="24" t="n"/>
      <c r="G45" s="67" t="n"/>
      <c r="H45" s="67" t="n"/>
      <c r="I45" s="67" t="n"/>
      <c r="J45" s="67" t="n"/>
      <c r="K45" s="67" t="n"/>
      <c r="L45" s="24" t="n"/>
      <c r="M45" s="24" t="n"/>
      <c r="N45" s="67" t="n"/>
      <c r="O45" s="67" t="n"/>
      <c r="P45" s="26" t="n"/>
      <c r="Q45" s="67" t="n"/>
      <c r="R45" s="67" t="n"/>
      <c r="S45" s="24" t="n"/>
      <c r="T45" s="24" t="n"/>
      <c r="U45" s="67" t="n"/>
      <c r="V45" s="67" t="n"/>
      <c r="W45" s="67" t="n"/>
      <c r="X45" s="67" t="n"/>
      <c r="Y45" s="67" t="n"/>
      <c r="Z45" s="24" t="n"/>
      <c r="AA45" s="24" t="n"/>
      <c r="AB45" s="29" t="n"/>
      <c r="AC45" s="29" t="n"/>
      <c r="AD45" s="29" t="n"/>
      <c r="AE45" s="29" t="n"/>
      <c r="AF45" s="29" t="n"/>
      <c r="AG45" s="24" t="n"/>
      <c r="AH45" s="24" t="n"/>
      <c r="AI45" s="75" t="n"/>
      <c r="AJ45" s="4" t="n"/>
      <c r="AK45" s="691" t="inlineStr">
        <is>
          <t>OPEN SOURCE 240H</t>
        </is>
      </c>
    </row>
    <row r="46" ht="18.75" customHeight="1" s="757">
      <c r="A46" s="788" t="inlineStr">
        <is>
          <t>NOVEMBRE</t>
        </is>
      </c>
      <c r="B46" s="156" t="n"/>
      <c r="C46" s="156" t="n"/>
      <c r="D46" s="156" t="n"/>
      <c r="E46" s="156" t="n"/>
      <c r="F46" s="156" t="n"/>
      <c r="G46" s="156" t="n"/>
      <c r="H46" s="156" t="n"/>
      <c r="I46" s="156" t="n"/>
      <c r="J46" s="156" t="n"/>
      <c r="K46" s="156" t="n"/>
      <c r="L46" s="156" t="n"/>
      <c r="M46" s="156" t="n"/>
      <c r="N46" s="156" t="n"/>
      <c r="O46" s="156" t="n"/>
      <c r="P46" s="156" t="n"/>
      <c r="Q46" s="156" t="n"/>
      <c r="R46" s="156" t="n"/>
      <c r="S46" s="156" t="n"/>
      <c r="T46" s="156" t="n"/>
      <c r="U46" s="156" t="n"/>
      <c r="V46" s="156" t="n"/>
      <c r="W46" s="156" t="n"/>
      <c r="X46" s="156" t="n"/>
      <c r="Y46" s="156" t="n"/>
      <c r="Z46" s="156" t="n"/>
      <c r="AA46" s="156" t="n"/>
      <c r="AB46" s="156" t="n"/>
      <c r="AC46" s="156" t="n"/>
      <c r="AD46" s="156" t="n"/>
      <c r="AE46" s="156" t="n"/>
      <c r="AF46" s="156" t="n"/>
      <c r="AG46" s="156" t="n"/>
      <c r="AH46" s="156" t="n"/>
      <c r="AI46" s="142" t="n"/>
      <c r="AJ46" s="4" t="n"/>
    </row>
    <row r="47" ht="60.75" customHeight="1" s="757">
      <c r="A47" s="7" t="inlineStr">
        <is>
          <t>AULA</t>
        </is>
      </c>
      <c r="B47" s="8" t="inlineStr">
        <is>
          <t>INICI</t>
        </is>
      </c>
      <c r="C47" s="8" t="inlineStr">
        <is>
          <t>FINAL</t>
        </is>
      </c>
      <c r="D47" s="8" t="inlineStr">
        <is>
          <t>AULA</t>
        </is>
      </c>
      <c r="E47" s="9" t="n">
        <v>44866</v>
      </c>
      <c r="F47" s="9" t="n">
        <v>44867</v>
      </c>
      <c r="G47" s="9" t="n">
        <v>44868</v>
      </c>
      <c r="H47" s="9" t="n">
        <v>44869</v>
      </c>
      <c r="I47" s="9" t="n">
        <v>44870</v>
      </c>
      <c r="J47" s="9" t="n">
        <v>44871</v>
      </c>
      <c r="K47" s="9" t="n">
        <v>44872</v>
      </c>
      <c r="L47" s="9" t="n">
        <v>44873</v>
      </c>
      <c r="M47" s="9" t="n">
        <v>44874</v>
      </c>
      <c r="N47" s="9" t="n">
        <v>44875</v>
      </c>
      <c r="O47" s="9" t="n">
        <v>44876</v>
      </c>
      <c r="P47" s="9" t="n">
        <v>44877</v>
      </c>
      <c r="Q47" s="9" t="n">
        <v>44878</v>
      </c>
      <c r="R47" s="9" t="n">
        <v>44879</v>
      </c>
      <c r="S47" s="9" t="n">
        <v>44880</v>
      </c>
      <c r="T47" s="9" t="n">
        <v>44881</v>
      </c>
      <c r="U47" s="9" t="n">
        <v>44882</v>
      </c>
      <c r="V47" s="9" t="n">
        <v>44883</v>
      </c>
      <c r="W47" s="9" t="n">
        <v>44884</v>
      </c>
      <c r="X47" s="9" t="n">
        <v>44885</v>
      </c>
      <c r="Y47" s="9" t="n">
        <v>44886</v>
      </c>
      <c r="Z47" s="9" t="n">
        <v>44887</v>
      </c>
      <c r="AA47" s="9" t="n">
        <v>44888</v>
      </c>
      <c r="AB47" s="9" t="n">
        <v>44889</v>
      </c>
      <c r="AC47" s="9" t="n">
        <v>44890</v>
      </c>
      <c r="AD47" s="9" t="n">
        <v>44891</v>
      </c>
      <c r="AE47" s="9" t="n">
        <v>44892</v>
      </c>
      <c r="AF47" s="9" t="n">
        <v>44893</v>
      </c>
      <c r="AG47" s="9" t="n">
        <v>44894</v>
      </c>
      <c r="AH47" s="9" t="n">
        <v>44895</v>
      </c>
      <c r="AI47" s="9" t="n"/>
      <c r="AJ47" s="4" t="n"/>
    </row>
    <row r="48" ht="15.75" customHeight="1" s="757">
      <c r="A48" s="10" t="inlineStr">
        <is>
          <t>GOOGLE MATINS</t>
        </is>
      </c>
      <c r="B48" s="11" t="n"/>
      <c r="C48" s="11" t="n"/>
      <c r="D48" s="12" t="n"/>
      <c r="E48" s="26" t="n"/>
      <c r="F48" s="33" t="n"/>
      <c r="G48" s="33" t="n"/>
      <c r="H48" s="33" t="n"/>
      <c r="I48" s="24" t="n"/>
      <c r="J48" s="24" t="n"/>
      <c r="K48" s="33" t="n"/>
      <c r="L48" s="33" t="n"/>
      <c r="M48" s="33" t="n"/>
      <c r="N48" s="33" t="n"/>
      <c r="O48" s="33" t="n"/>
      <c r="P48" s="24" t="n"/>
      <c r="Q48" s="24" t="n"/>
      <c r="R48" s="33" t="n"/>
      <c r="S48" s="33" t="n"/>
      <c r="T48" s="33" t="n"/>
      <c r="U48" s="33" t="n"/>
      <c r="V48" s="33" t="n"/>
      <c r="W48" s="24" t="n"/>
      <c r="X48" s="24" t="n"/>
      <c r="Y48" s="33" t="n"/>
      <c r="Z48" s="33" t="n"/>
      <c r="AA48" s="33" t="n"/>
      <c r="AB48" s="33" t="n"/>
      <c r="AC48" s="33" t="n"/>
      <c r="AD48" s="24" t="n"/>
      <c r="AE48" s="24" t="n"/>
      <c r="AF48" s="33" t="n"/>
      <c r="AG48" s="33" t="n"/>
      <c r="AH48" s="33" t="n"/>
      <c r="AI48" s="756" t="n"/>
      <c r="AJ48" s="4" t="n"/>
      <c r="AK48" s="683" t="inlineStr">
        <is>
          <t>OPEN SOURCE BACK - SOC MES TALENT</t>
        </is>
      </c>
    </row>
    <row r="49" ht="16.5" customHeight="1" s="757" thickBot="1">
      <c r="A49" s="14" t="inlineStr">
        <is>
          <t>FIREFOX MATINS</t>
        </is>
      </c>
      <c r="B49" s="15" t="n"/>
      <c r="C49" s="15" t="n"/>
      <c r="D49" s="15" t="n"/>
      <c r="E49" s="27" t="n"/>
      <c r="F49" s="68" t="n"/>
      <c r="G49" s="68" t="n"/>
      <c r="H49" s="68" t="n"/>
      <c r="I49" s="35" t="n"/>
      <c r="J49" s="35" t="n"/>
      <c r="K49" s="778" t="n"/>
      <c r="L49" s="778" t="n"/>
      <c r="M49" s="778" t="n"/>
      <c r="N49" s="778" t="n"/>
      <c r="O49" s="778" t="n"/>
      <c r="P49" s="35" t="n"/>
      <c r="Q49" s="35" t="n"/>
      <c r="R49" s="68" t="inlineStr">
        <is>
          <t>PERE</t>
        </is>
      </c>
      <c r="S49" s="68" t="n"/>
      <c r="T49" s="68" t="n"/>
      <c r="U49" s="68" t="n"/>
      <c r="V49" s="68" t="n"/>
      <c r="W49" s="119" t="n"/>
      <c r="X49" s="119" t="n"/>
      <c r="Y49" s="68" t="n"/>
      <c r="Z49" s="68" t="n"/>
      <c r="AA49" s="68" t="n"/>
      <c r="AB49" s="68" t="n"/>
      <c r="AC49" s="68" t="n"/>
      <c r="AD49" s="35" t="n"/>
      <c r="AE49" s="35" t="n"/>
      <c r="AF49" s="778" t="n"/>
      <c r="AG49" s="778" t="n"/>
      <c r="AH49" s="516" t="inlineStr">
        <is>
          <t>CLA</t>
        </is>
      </c>
      <c r="AI49" s="778" t="n"/>
      <c r="AJ49" s="4" t="n"/>
      <c r="AK49" s="517" t="inlineStr">
        <is>
          <t>(005)IFCM_ITI01- Bàsic ofimàtic</t>
        </is>
      </c>
      <c r="AL49" s="117" t="n"/>
      <c r="AM49" s="117" t="n"/>
      <c r="AN49" s="117" t="n"/>
      <c r="AO49" s="117" t="n"/>
      <c r="AP49" s="117" t="n"/>
      <c r="AQ49" s="117" t="n"/>
      <c r="AR49" s="117" t="n"/>
      <c r="AU49" s="54" t="inlineStr">
        <is>
          <t>(011)ADGG084PO - WORD AVANÇAT</t>
        </is>
      </c>
      <c r="AV49" s="54" t="n"/>
      <c r="AW49" s="54" t="n"/>
      <c r="AX49" s="54" t="n"/>
      <c r="AY49" s="54" t="n"/>
      <c r="AZ49" s="54" t="n"/>
      <c r="BA49" s="54" t="n"/>
      <c r="BD49" s="774" t="n"/>
      <c r="BE49" s="774" t="n"/>
      <c r="BF49" s="774" t="n"/>
      <c r="BG49" s="774" t="n"/>
      <c r="BH49" s="774" t="n"/>
      <c r="BI49" s="117" t="inlineStr">
        <is>
          <t>IFMC_ITI01 - 005 - BASIC</t>
        </is>
      </c>
    </row>
    <row r="50" ht="17.25" customHeight="1" s="757" thickBot="1" thickTop="1">
      <c r="A50" s="17" t="inlineStr">
        <is>
          <t>GOOGLE TARDA</t>
        </is>
      </c>
      <c r="B50" s="18" t="n"/>
      <c r="C50" s="18" t="n"/>
      <c r="D50" s="18" t="n"/>
      <c r="E50" s="28" t="n"/>
      <c r="H50" s="102" t="inlineStr">
        <is>
          <t>PERE</t>
        </is>
      </c>
      <c r="I50" s="36" t="n"/>
      <c r="J50" s="36" t="n"/>
      <c r="K50" s="102" t="n"/>
      <c r="L50" s="80" t="n"/>
      <c r="M50" s="80" t="n"/>
      <c r="N50" s="80" t="n"/>
      <c r="O50" s="80" t="n"/>
      <c r="P50" s="39" t="n"/>
      <c r="Q50" s="39" t="n"/>
      <c r="R50" s="80" t="n"/>
      <c r="S50" s="80" t="n"/>
      <c r="T50" s="34" t="inlineStr">
        <is>
          <t>PERE</t>
        </is>
      </c>
      <c r="U50" s="80" t="n"/>
      <c r="W50" s="24" t="n"/>
      <c r="X50" s="24" t="n"/>
      <c r="Y50" s="774" t="n"/>
      <c r="Z50" s="48" t="n"/>
      <c r="AA50" s="48" t="n"/>
      <c r="AB50" s="48" t="n"/>
      <c r="AC50" s="48" t="n"/>
      <c r="AD50" s="39" t="n"/>
      <c r="AE50" s="39" t="n"/>
      <c r="AF50" s="778" t="n"/>
      <c r="AG50" s="778" t="n"/>
      <c r="AH50" s="516" t="inlineStr">
        <is>
          <t>PER</t>
        </is>
      </c>
      <c r="AI50" s="755" t="n"/>
      <c r="AJ50" s="4" t="n"/>
      <c r="AK50" s="517" t="inlineStr">
        <is>
          <t>(014)ADGG_ITI01 . Edició textos i Cibersegureta</t>
        </is>
      </c>
      <c r="AL50" s="517" t="n"/>
      <c r="AM50" s="517" t="n"/>
      <c r="AN50" s="517" t="n"/>
      <c r="AO50" s="517" t="n"/>
      <c r="AP50" s="517" t="n"/>
      <c r="AQ50" s="517" t="n"/>
      <c r="AR50" s="517" t="n"/>
      <c r="AU50" s="103" t="inlineStr">
        <is>
          <t>INTERNET DE LES COSES 15-20H</t>
        </is>
      </c>
      <c r="AV50" s="103" t="n"/>
      <c r="AW50" s="103" t="n"/>
      <c r="AX50" s="103" t="n"/>
      <c r="AY50" s="103" t="n"/>
      <c r="AZ50" s="103" t="n"/>
      <c r="BA50" s="103" t="n"/>
      <c r="BD50" s="682" t="inlineStr">
        <is>
          <t>ACTIC 11 EDICIO</t>
        </is>
      </c>
      <c r="BI50" s="117" t="inlineStr">
        <is>
          <t>FCOI24 - 016 - BASIC</t>
        </is>
      </c>
    </row>
    <row r="51" ht="16.5" customHeight="1" s="757" thickTop="1">
      <c r="A51" s="10" t="inlineStr">
        <is>
          <t>FIREFOX TARDA</t>
        </is>
      </c>
      <c r="B51" s="11" t="n"/>
      <c r="C51" s="11" t="n"/>
      <c r="D51" s="12" t="n"/>
      <c r="E51" s="26" t="n"/>
      <c r="F51" s="103" t="inlineStr">
        <is>
          <t>1ES AUX</t>
        </is>
      </c>
      <c r="G51" s="45" t="n"/>
      <c r="H51" s="23" t="n"/>
      <c r="I51" s="24" t="n"/>
      <c r="J51" s="24" t="n"/>
      <c r="K51" s="756" t="n"/>
      <c r="L51" s="756" t="n"/>
      <c r="M51" s="756" t="n"/>
      <c r="N51" s="756" t="n"/>
      <c r="O51" s="756" t="n"/>
      <c r="P51" s="24" t="n"/>
      <c r="Q51" s="24" t="n"/>
      <c r="R51" s="756" t="n"/>
      <c r="S51" s="756" t="n"/>
      <c r="T51" s="789" t="inlineStr">
        <is>
          <t>INTERNET</t>
        </is>
      </c>
      <c r="U51" s="790" t="n"/>
      <c r="V51" s="791" t="n"/>
      <c r="W51" s="39" t="n"/>
      <c r="X51" s="39" t="n"/>
      <c r="Y51" s="114" t="n"/>
      <c r="Z51" s="756" t="n"/>
      <c r="AD51" s="24" t="n"/>
      <c r="AE51" s="24" t="n"/>
      <c r="AI51" s="756" t="n"/>
      <c r="AJ51" s="4" t="n"/>
      <c r="AP51" s="774" t="n"/>
      <c r="AQ51" s="56" t="inlineStr">
        <is>
          <t>VANESA VAM</t>
        </is>
      </c>
      <c r="AR51" s="56" t="n"/>
      <c r="AS51" s="56" t="n"/>
      <c r="AT51" s="56" t="n"/>
      <c r="AU51" s="56" t="n"/>
      <c r="AW51" s="103" t="inlineStr">
        <is>
          <t>RECICLATGE PRIMERS AUXILIS</t>
        </is>
      </c>
      <c r="AX51" s="103" t="n"/>
      <c r="AY51" s="103" t="n"/>
      <c r="AZ51" s="103" t="n"/>
      <c r="BA51" s="103" t="n"/>
      <c r="BB51" s="103" t="n"/>
      <c r="BC51" s="774" t="n"/>
      <c r="BD51" s="774" t="n"/>
      <c r="BE51" s="774" t="n"/>
      <c r="BF51" s="774" t="n"/>
      <c r="BG51" s="774" t="n"/>
    </row>
    <row r="52" ht="15.75" customHeight="1" s="757">
      <c r="A52" s="10" t="inlineStr">
        <is>
          <t>TARRAGONA MATI</t>
        </is>
      </c>
      <c r="B52" s="11" t="n"/>
      <c r="C52" s="11" t="n"/>
      <c r="D52" s="12" t="n"/>
      <c r="E52" s="26" t="n"/>
      <c r="F52" s="37" t="n"/>
      <c r="G52" s="69" t="n"/>
      <c r="H52" s="756" t="n"/>
      <c r="I52" s="24" t="n"/>
      <c r="J52" s="24" t="n"/>
      <c r="K52" s="37" t="n"/>
      <c r="L52" s="74" t="n"/>
      <c r="M52" s="37" t="n"/>
      <c r="N52" s="74" t="n"/>
      <c r="O52" s="37" t="n"/>
      <c r="P52" s="24" t="n"/>
      <c r="Q52" s="24" t="n"/>
      <c r="R52" s="74" t="n"/>
      <c r="T52" s="37" t="n"/>
      <c r="U52" s="74" t="n"/>
      <c r="V52" s="37" t="n"/>
      <c r="W52" s="24" t="n"/>
      <c r="X52" s="24" t="n"/>
      <c r="Y52" s="756" t="n"/>
      <c r="Z52" s="756" t="n"/>
      <c r="AA52" s="756" t="n"/>
      <c r="AB52" s="756" t="n"/>
      <c r="AC52" s="756" t="n"/>
      <c r="AD52" s="24" t="n"/>
      <c r="AE52" s="24" t="n"/>
      <c r="AF52" s="756" t="n"/>
      <c r="AG52" s="756" t="n"/>
      <c r="AH52" s="756" t="n"/>
      <c r="AI52" s="756" t="n"/>
      <c r="AJ52" s="4" t="n"/>
      <c r="AK52" s="55" t="inlineStr">
        <is>
          <t>TALLER OFFICE ED.</t>
        </is>
      </c>
      <c r="AL52" s="55" t="n"/>
      <c r="AM52" s="55" t="n"/>
      <c r="AN52" s="55" t="n"/>
      <c r="AP52" s="55" t="inlineStr">
        <is>
          <t>REPÀS COMPETÈNCIES C1-C8 2ªEDICIÓ</t>
        </is>
      </c>
      <c r="AQ52" s="55" t="n"/>
      <c r="AR52" s="55" t="n"/>
      <c r="AS52" s="55" t="n"/>
      <c r="AT52" s="55" t="n"/>
      <c r="AU52" s="55" t="n"/>
      <c r="AV52" s="55" t="n"/>
      <c r="AW52" s="55" t="n"/>
      <c r="AY52" s="74" t="inlineStr">
        <is>
          <t>REPAS DE COMPETENCIES AVANÇAT PRESENCIAL</t>
        </is>
      </c>
      <c r="AZ52" s="74" t="n"/>
      <c r="BA52" s="74" t="n"/>
      <c r="BB52" s="74" t="n"/>
      <c r="BC52" s="74" t="n"/>
      <c r="BD52" s="74" t="n"/>
      <c r="BE52" s="74" t="n"/>
      <c r="BF52" s="74" t="n"/>
      <c r="BG52" s="74" t="n"/>
    </row>
    <row r="53" ht="15.75" customHeight="1" s="757">
      <c r="A53" s="10" t="n"/>
      <c r="B53" s="11" t="n"/>
      <c r="C53" s="11" t="n"/>
      <c r="D53" s="12" t="n"/>
      <c r="E53" s="26" t="n"/>
      <c r="F53" s="756" t="n"/>
      <c r="G53" s="756" t="n"/>
      <c r="H53" s="756" t="n"/>
      <c r="I53" s="24" t="n"/>
      <c r="J53" s="24" t="n"/>
      <c r="P53" s="24" t="n"/>
      <c r="Q53" s="24" t="n"/>
      <c r="T53" s="688" t="inlineStr">
        <is>
          <t>tecla mopció 1</t>
        </is>
      </c>
      <c r="V53" s="792" t="n"/>
      <c r="W53" s="24" t="n"/>
      <c r="X53" s="24" t="n"/>
      <c r="Y53" s="51" t="n"/>
      <c r="AA53" s="756" t="n"/>
      <c r="AB53" s="756" t="n"/>
      <c r="AC53" s="756" t="n"/>
      <c r="AD53" s="24" t="n"/>
      <c r="AE53" s="24" t="n"/>
      <c r="AF53" s="51" t="n"/>
      <c r="AG53" s="756" t="n"/>
      <c r="AH53" s="756" t="n"/>
      <c r="AI53" s="756" t="n"/>
      <c r="AJ53" s="4" t="n"/>
      <c r="AL53" s="51" t="inlineStr">
        <is>
          <t>EXCEL TECLA - PENDENT DE CONFIRMAR</t>
        </is>
      </c>
      <c r="AM53" s="51" t="n"/>
      <c r="AN53" s="51" t="n"/>
      <c r="AO53" s="51" t="n"/>
      <c r="AP53" s="51" t="n"/>
      <c r="AQ53" s="51" t="n"/>
      <c r="AR53" s="51" t="n"/>
      <c r="AS53" s="51" t="n"/>
      <c r="AT53" s="51" t="n"/>
    </row>
    <row r="54" ht="15.75" customHeight="1" s="757">
      <c r="A54" s="25" t="inlineStr">
        <is>
          <t>online - EAPC</t>
        </is>
      </c>
      <c r="B54" s="11" t="n"/>
      <c r="C54" s="11" t="n"/>
      <c r="D54" s="12" t="n"/>
      <c r="E54" s="26" t="n"/>
      <c r="F54" s="756" t="n"/>
      <c r="G54" s="756" t="n"/>
      <c r="H54" s="756" t="n"/>
      <c r="I54" s="24" t="n"/>
      <c r="J54" s="24" t="n"/>
      <c r="P54" s="24" t="n"/>
      <c r="Q54" s="24" t="n"/>
      <c r="W54" s="24" t="n"/>
      <c r="X54" s="24" t="n"/>
      <c r="AA54" s="756" t="n"/>
      <c r="AB54" s="756" t="n"/>
      <c r="AC54" s="756" t="n"/>
      <c r="AD54" s="24" t="n"/>
      <c r="AE54" s="24" t="n"/>
      <c r="AF54" s="756" t="n"/>
      <c r="AG54" s="756" t="n"/>
      <c r="AH54" s="756" t="n"/>
      <c r="AI54" s="756" t="n"/>
      <c r="AJ54" s="4" t="n"/>
    </row>
    <row r="55" ht="18.75" customHeight="1" s="757">
      <c r="A55" s="788" t="inlineStr">
        <is>
          <t>DESEMBRE</t>
        </is>
      </c>
      <c r="B55" s="156" t="n"/>
      <c r="C55" s="156" t="n"/>
      <c r="D55" s="156" t="n"/>
      <c r="E55" s="156" t="n"/>
      <c r="F55" s="156" t="n"/>
      <c r="G55" s="156" t="n"/>
      <c r="H55" s="156" t="n"/>
      <c r="I55" s="156" t="n"/>
      <c r="J55" s="156" t="n"/>
      <c r="K55" s="156" t="n"/>
      <c r="L55" s="156" t="n"/>
      <c r="M55" s="156" t="n"/>
      <c r="N55" s="156" t="n"/>
      <c r="O55" s="156" t="n"/>
      <c r="P55" s="156" t="n"/>
      <c r="Q55" s="156" t="n"/>
      <c r="R55" s="156" t="n"/>
      <c r="S55" s="156" t="n"/>
      <c r="T55" s="156" t="n"/>
      <c r="U55" s="156" t="n"/>
      <c r="V55" s="156" t="n"/>
      <c r="W55" s="156" t="n"/>
      <c r="X55" s="156" t="n"/>
      <c r="Y55" s="156" t="n"/>
      <c r="Z55" s="156" t="n"/>
      <c r="AA55" s="156" t="n"/>
      <c r="AB55" s="156" t="n"/>
      <c r="AC55" s="156" t="n"/>
      <c r="AD55" s="156" t="n"/>
      <c r="AE55" s="156" t="n"/>
      <c r="AF55" s="156" t="n"/>
      <c r="AG55" s="156" t="n"/>
      <c r="AH55" s="156" t="n"/>
      <c r="AI55" s="142" t="n"/>
      <c r="AJ55" s="4" t="n"/>
    </row>
    <row r="56" ht="59.25" customHeight="1" s="757">
      <c r="A56" s="7" t="inlineStr">
        <is>
          <t>AULA</t>
        </is>
      </c>
      <c r="B56" s="8" t="inlineStr">
        <is>
          <t>INICI</t>
        </is>
      </c>
      <c r="C56" s="8" t="inlineStr">
        <is>
          <t>FINAL</t>
        </is>
      </c>
      <c r="D56" s="8" t="inlineStr">
        <is>
          <t>AULA</t>
        </is>
      </c>
      <c r="E56" s="104" t="n">
        <v>44896</v>
      </c>
      <c r="F56" s="104" t="n">
        <v>44897</v>
      </c>
      <c r="G56" s="104" t="n">
        <v>44898</v>
      </c>
      <c r="H56" s="104" t="n">
        <v>44899</v>
      </c>
      <c r="I56" s="104" t="n">
        <v>44900</v>
      </c>
      <c r="J56" s="104" t="n">
        <v>44901</v>
      </c>
      <c r="K56" s="104" t="n">
        <v>44902</v>
      </c>
      <c r="L56" s="104" t="n">
        <v>44903</v>
      </c>
      <c r="M56" s="104" t="n">
        <v>44904</v>
      </c>
      <c r="N56" s="104" t="n">
        <v>44905</v>
      </c>
      <c r="O56" s="104" t="n">
        <v>44906</v>
      </c>
      <c r="P56" s="104" t="n">
        <v>44907</v>
      </c>
      <c r="Q56" s="104" t="n">
        <v>44908</v>
      </c>
      <c r="R56" s="104" t="n">
        <v>44909</v>
      </c>
      <c r="S56" s="104" t="n">
        <v>44910</v>
      </c>
      <c r="T56" s="104" t="n">
        <v>44911</v>
      </c>
      <c r="U56" s="104" t="n">
        <v>44912</v>
      </c>
      <c r="V56" s="104" t="n">
        <v>44913</v>
      </c>
      <c r="W56" s="104" t="n">
        <v>44914</v>
      </c>
      <c r="X56" s="104" t="n">
        <v>44915</v>
      </c>
      <c r="Y56" s="104" t="n">
        <v>44916</v>
      </c>
      <c r="Z56" s="104" t="n">
        <v>44917</v>
      </c>
      <c r="AA56" s="104" t="n">
        <v>44918</v>
      </c>
      <c r="AB56" s="104" t="n">
        <v>44919</v>
      </c>
      <c r="AC56" s="104" t="n">
        <v>44920</v>
      </c>
      <c r="AD56" s="104" t="n">
        <v>44921</v>
      </c>
      <c r="AE56" s="104" t="n">
        <v>44922</v>
      </c>
      <c r="AF56" s="104" t="n">
        <v>44923</v>
      </c>
      <c r="AG56" s="104" t="n">
        <v>44924</v>
      </c>
      <c r="AH56" s="104" t="n">
        <v>44925</v>
      </c>
      <c r="AI56" s="104" t="n">
        <v>44926</v>
      </c>
      <c r="AJ56" s="4" t="n"/>
    </row>
    <row r="57" ht="15.75" customHeight="1" s="757">
      <c r="A57" s="10" t="inlineStr">
        <is>
          <t>GOOGLE MATINS</t>
        </is>
      </c>
      <c r="B57" s="11" t="n"/>
      <c r="C57" s="11" t="n"/>
      <c r="D57" s="12" t="n"/>
      <c r="E57" s="33" t="n"/>
      <c r="F57" s="33" t="n"/>
      <c r="G57" s="24" t="n"/>
      <c r="H57" s="24" t="n"/>
      <c r="I57" s="33" t="n"/>
      <c r="J57" s="26" t="n"/>
      <c r="K57" s="33" t="n"/>
      <c r="L57" s="26" t="n"/>
      <c r="M57" s="75" t="n"/>
      <c r="N57" s="24" t="n"/>
      <c r="O57" s="24" t="n"/>
      <c r="P57" s="33" t="n"/>
      <c r="Q57" s="33" t="n"/>
      <c r="R57" s="33" t="n"/>
      <c r="S57" s="69" t="n"/>
      <c r="T57" s="69" t="n"/>
      <c r="U57" s="24" t="n"/>
      <c r="V57" s="24" t="n"/>
      <c r="W57" s="69" t="n"/>
      <c r="X57" s="69" t="n"/>
      <c r="Y57" s="69" t="n"/>
      <c r="Z57" s="518" t="inlineStr">
        <is>
          <t>MON</t>
        </is>
      </c>
      <c r="AA57" s="518" t="inlineStr">
        <is>
          <t>MON</t>
        </is>
      </c>
      <c r="AB57" s="24" t="n"/>
      <c r="AC57" s="26" t="n"/>
      <c r="AD57" s="26" t="n"/>
      <c r="AE57" s="63" t="n"/>
      <c r="AF57" s="63" t="n"/>
      <c r="AG57" s="63" t="n"/>
      <c r="AH57" s="63" t="n"/>
      <c r="AI57" s="24" t="n"/>
      <c r="AJ57" s="4" t="n"/>
      <c r="AK57" s="683" t="inlineStr">
        <is>
          <t>OPEN SOURCE BACK - SOC MES TALENT</t>
        </is>
      </c>
      <c r="AS57" s="74" t="inlineStr">
        <is>
          <t>FCO SOC MES TALENT</t>
        </is>
      </c>
      <c r="AT57" s="74" t="n"/>
      <c r="AU57" s="74" t="n"/>
      <c r="AV57" s="74" t="n"/>
    </row>
    <row r="58" ht="16.5" customHeight="1" s="757" thickBot="1">
      <c r="A58" s="14" t="inlineStr">
        <is>
          <t>FIREFOX MATINS</t>
        </is>
      </c>
      <c r="B58" s="15" t="n"/>
      <c r="C58" s="15" t="n"/>
      <c r="D58" s="15" t="n"/>
      <c r="E58" s="519" t="inlineStr">
        <is>
          <t>CLA</t>
        </is>
      </c>
      <c r="F58" s="125" t="n"/>
      <c r="G58" s="126" t="n"/>
      <c r="H58" s="126" t="n"/>
      <c r="I58" s="125" t="n"/>
      <c r="J58" s="127" t="n"/>
      <c r="K58" s="125" t="n"/>
      <c r="L58" s="127" t="n"/>
      <c r="M58" s="128" t="n"/>
      <c r="N58" s="126" t="n"/>
      <c r="O58" s="126" t="n"/>
      <c r="P58" s="125" t="n"/>
      <c r="Q58" s="125" t="n"/>
      <c r="R58" s="125" t="n"/>
      <c r="S58" s="125" t="n"/>
      <c r="T58" s="125" t="n"/>
      <c r="U58" s="126" t="n"/>
      <c r="V58" s="126" t="n"/>
      <c r="W58" s="129" t="n"/>
      <c r="X58" s="130" t="n"/>
      <c r="Y58" s="778" t="n"/>
      <c r="Z58" s="778" t="n"/>
      <c r="AA58" s="778" t="n"/>
      <c r="AB58" s="35" t="n"/>
      <c r="AC58" s="27" t="n"/>
      <c r="AD58" s="27" t="n"/>
      <c r="AE58" s="64" t="n"/>
      <c r="AF58" s="64" t="n"/>
      <c r="AG58" s="64" t="n"/>
      <c r="AH58" s="64" t="n"/>
      <c r="AI58" s="35" t="n"/>
      <c r="AJ58" s="4" t="n"/>
      <c r="AK58" s="53" t="inlineStr">
        <is>
          <t xml:space="preserve">masterclas make up Laura </t>
        </is>
      </c>
      <c r="AL58" s="53" t="n"/>
      <c r="AM58" s="53" t="n"/>
      <c r="AN58" s="53" t="n"/>
      <c r="AO58" s="53" t="n"/>
      <c r="AP58" s="53" t="n"/>
      <c r="AQ58" s="53" t="n"/>
      <c r="AS58" s="517" t="inlineStr">
        <is>
          <t>(005)IFCM_ITI01- Bàsic ofimàtic</t>
        </is>
      </c>
      <c r="AT58" s="117" t="n"/>
      <c r="AU58" s="117" t="n"/>
      <c r="AV58" s="117" t="n"/>
      <c r="AW58" s="117" t="n"/>
      <c r="AX58" s="117" t="n"/>
    </row>
    <row r="59" ht="17.25" customHeight="1" s="757" thickBot="1" thickTop="1">
      <c r="A59" s="17" t="inlineStr">
        <is>
          <t>GOOGLE TARDA</t>
        </is>
      </c>
      <c r="B59" s="18" t="n"/>
      <c r="C59" s="18" t="n"/>
      <c r="D59" s="121" t="n"/>
      <c r="E59" s="520" t="inlineStr">
        <is>
          <t>PER</t>
        </is>
      </c>
      <c r="F59" s="124" t="n"/>
      <c r="G59" s="39" t="n"/>
      <c r="H59" s="39" t="n"/>
      <c r="I59" s="124" t="n"/>
      <c r="J59" s="28" t="n"/>
      <c r="K59" s="124" t="n"/>
      <c r="L59" s="28" t="n"/>
      <c r="M59" s="77" t="n"/>
      <c r="N59" s="39" t="n"/>
      <c r="O59" s="39" t="n"/>
      <c r="P59" s="124" t="n"/>
      <c r="Q59" s="124" t="n"/>
      <c r="R59" s="520" t="inlineStr">
        <is>
          <t>mon</t>
        </is>
      </c>
      <c r="S59" s="124" t="n"/>
      <c r="T59" s="124" t="n"/>
      <c r="U59" s="39" t="n"/>
      <c r="V59" s="39" t="n"/>
      <c r="W59" s="755" t="n"/>
      <c r="X59" s="132" t="inlineStr">
        <is>
          <t>pere</t>
        </is>
      </c>
      <c r="Y59" s="123" t="n"/>
      <c r="Z59" s="755" t="n"/>
      <c r="AA59" s="755" t="n"/>
      <c r="AB59" s="39" t="n"/>
      <c r="AC59" s="28" t="n"/>
      <c r="AD59" s="28" t="n"/>
      <c r="AE59" s="65" t="n"/>
      <c r="AF59" s="65" t="n"/>
      <c r="AG59" s="65" t="n"/>
      <c r="AH59" s="65" t="n"/>
      <c r="AI59" s="39" t="n"/>
      <c r="AJ59" s="4" t="n"/>
      <c r="AS59" s="517" t="inlineStr">
        <is>
          <t>(014)ADGG_ITI01 . Edició textos i Cibersegureta</t>
        </is>
      </c>
      <c r="AT59" s="117" t="n"/>
      <c r="AU59" s="117" t="n"/>
      <c r="AV59" s="117" t="n"/>
      <c r="AW59" s="117" t="n"/>
      <c r="AX59" s="117" t="n"/>
      <c r="AY59" s="52" t="inlineStr">
        <is>
          <t>examen actic 11º convocatoria</t>
        </is>
      </c>
      <c r="AZ59" s="52" t="n"/>
      <c r="BA59" s="52" t="n"/>
      <c r="BB59" s="52" t="n"/>
      <c r="BC59" s="52" t="n"/>
      <c r="BD59" s="52" t="n"/>
    </row>
    <row r="60" ht="18.75" customHeight="1" s="757">
      <c r="A60" s="10" t="inlineStr">
        <is>
          <t>FIREFOX TARDA</t>
        </is>
      </c>
      <c r="B60" s="11" t="n"/>
      <c r="C60" s="11" t="n"/>
      <c r="D60" s="122" t="n"/>
      <c r="E60" s="133" t="n"/>
      <c r="F60" s="133" t="n"/>
      <c r="G60" s="39" t="n"/>
      <c r="H60" s="39" t="n"/>
      <c r="I60" s="756" t="n"/>
      <c r="J60" s="28" t="n"/>
      <c r="K60" s="756" t="n"/>
      <c r="L60" s="28" t="n"/>
      <c r="M60" s="77" t="n"/>
      <c r="N60" s="39" t="n"/>
      <c r="O60" s="39" t="n"/>
      <c r="P60" s="755" t="n"/>
      <c r="Q60" s="755" t="n"/>
      <c r="R60" s="755" t="n"/>
      <c r="S60" s="145" t="n"/>
      <c r="T60" s="145" t="n"/>
      <c r="U60" s="39" t="n"/>
      <c r="V60" s="39" t="n"/>
      <c r="W60" s="755" t="n"/>
      <c r="X60" s="131" t="n"/>
      <c r="Y60" s="755" t="n"/>
      <c r="Z60" s="755" t="n"/>
      <c r="AA60" s="755" t="n"/>
      <c r="AB60" s="24" t="n"/>
      <c r="AC60" s="26" t="n"/>
      <c r="AD60" s="26" t="n"/>
      <c r="AE60" s="63" t="n"/>
      <c r="AF60" s="63" t="n"/>
      <c r="AG60" s="63" t="n"/>
      <c r="AH60" s="63" t="n"/>
      <c r="AI60" s="24" t="n"/>
      <c r="AJ60" s="4" t="n"/>
      <c r="AK60" s="775" t="n"/>
      <c r="AS60" s="775" t="n"/>
    </row>
    <row r="61" ht="15.75" customHeight="1" s="757">
      <c r="A61" s="118" t="inlineStr">
        <is>
          <t>TARRAGONA</t>
        </is>
      </c>
      <c r="R61" s="522" t="inlineStr">
        <is>
          <t>per</t>
        </is>
      </c>
      <c r="S61" s="523" t="inlineStr">
        <is>
          <t>raf</t>
        </is>
      </c>
      <c r="AJ61" s="4" t="n"/>
      <c r="AK61" s="51" t="inlineStr">
        <is>
          <t>EXAMEN ACTIC (RAFA-TARRAGONA)</t>
        </is>
      </c>
      <c r="AL61" s="51" t="n"/>
      <c r="AM61" s="51" t="n"/>
      <c r="AN61" s="51" t="n"/>
      <c r="AO61" s="51" t="n"/>
      <c r="AP61" s="51" t="n"/>
      <c r="AQ61" s="51" t="n"/>
      <c r="AS61" s="54" t="inlineStr">
        <is>
          <t>EXAMEN ACTIC (PERE-TARRAGONA)</t>
        </is>
      </c>
      <c r="AT61" s="54" t="n"/>
      <c r="AU61" s="54" t="n"/>
      <c r="AV61" s="54" t="n"/>
      <c r="AW61" s="54" t="n"/>
      <c r="AX61" s="54" t="n"/>
      <c r="AY61" s="58" t="inlineStr">
        <is>
          <t xml:space="preserve">CONFERENCIA MANU </t>
        </is>
      </c>
      <c r="AZ61" s="58" t="n"/>
      <c r="BA61" s="58" t="n"/>
      <c r="BB61" s="58" t="n"/>
      <c r="BC61" s="58" t="n"/>
    </row>
    <row r="62">
      <c r="AJ62" s="4" t="n"/>
    </row>
    <row r="63">
      <c r="AJ63" s="4" t="n"/>
    </row>
    <row r="64">
      <c r="AJ64" s="4" t="n"/>
    </row>
  </sheetData>
  <mergeCells count="45">
    <mergeCell ref="AK30:AP30"/>
    <mergeCell ref="AK41:AN41"/>
    <mergeCell ref="AK48:AR48"/>
    <mergeCell ref="AK17:AR17"/>
    <mergeCell ref="A13:AI13"/>
    <mergeCell ref="AK40:AQ40"/>
    <mergeCell ref="AK33:AP33"/>
    <mergeCell ref="AS40:AX40"/>
    <mergeCell ref="AK45:AP45"/>
    <mergeCell ref="AK6:AQ6"/>
    <mergeCell ref="AU3:AX3"/>
    <mergeCell ref="AK57:AR57"/>
    <mergeCell ref="A24:AI24"/>
    <mergeCell ref="AK21:AP21"/>
    <mergeCell ref="T51:V51"/>
    <mergeCell ref="AK12:AP12"/>
    <mergeCell ref="AK27:AQ27"/>
    <mergeCell ref="AK11:AP11"/>
    <mergeCell ref="AK20:AP20"/>
    <mergeCell ref="AR38:AX38"/>
    <mergeCell ref="BA41:BG41"/>
    <mergeCell ref="AK34:AP34"/>
    <mergeCell ref="AK10:AP10"/>
    <mergeCell ref="A1:AI1"/>
    <mergeCell ref="AK44:AP44"/>
    <mergeCell ref="AX26:BG26"/>
    <mergeCell ref="AK31:AP31"/>
    <mergeCell ref="AK22:AP22"/>
    <mergeCell ref="BD50:BG50"/>
    <mergeCell ref="AU5:AX5"/>
    <mergeCell ref="AK8:AP8"/>
    <mergeCell ref="A46:AI46"/>
    <mergeCell ref="AS39:AW39"/>
    <mergeCell ref="AK23:AP23"/>
    <mergeCell ref="AK32:AP32"/>
    <mergeCell ref="A55:AI55"/>
    <mergeCell ref="AK39:AQ39"/>
    <mergeCell ref="AK42:AP42"/>
    <mergeCell ref="AK19:AP19"/>
    <mergeCell ref="AK37:AR37"/>
    <mergeCell ref="T53:V53"/>
    <mergeCell ref="A35:AI35"/>
    <mergeCell ref="AK9:AP9"/>
    <mergeCell ref="AK43:AP43"/>
    <mergeCell ref="AK3:AS3"/>
  </mergeCells>
  <printOptions horizontalCentered="1" verticalCentered="1"/>
  <pageMargins left="0.7086614173228351" right="0.7086614173228351" top="0.551181102362205" bottom="0.551181102362205" header="0.31496062992126" footer="0.31496062992126"/>
  <pageSetup orientation="landscape" paperSize="8" scale="62"/>
  <headerFooter>
    <oddHeader>&amp;C&amp;A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9"/>
  <sheetViews>
    <sheetView topLeftCell="A68" zoomScale="84" zoomScaleNormal="84" workbookViewId="0">
      <selection activeCell="V93" sqref="V93"/>
    </sheetView>
  </sheetViews>
  <sheetFormatPr baseColWidth="10" defaultColWidth="11.42578125" defaultRowHeight="15"/>
  <cols>
    <col width="19.28515625" customWidth="1" style="757" min="1" max="1"/>
    <col width="11.7109375" customWidth="1" style="757" min="2" max="2"/>
    <col width="12.42578125" customWidth="1" style="757" min="3" max="3"/>
    <col width="6.28515625" customWidth="1" style="757" min="4" max="4"/>
    <col width="4.5703125" customWidth="1" style="757" min="5" max="35"/>
    <col width="9.28515625" customWidth="1" style="6" min="36" max="36"/>
    <col width="4.5703125" customWidth="1" style="757" min="37" max="43"/>
    <col width="6.5703125" customWidth="1" style="757" min="44" max="44"/>
    <col width="4.5703125" customWidth="1" style="757" min="45" max="45"/>
    <col width="14.85546875" customWidth="1" style="757" min="46" max="46"/>
    <col width="4.5703125" customWidth="1" style="757" min="47" max="49"/>
    <col width="8.5703125" customWidth="1" style="757" min="50" max="50"/>
    <col width="4.5703125" customWidth="1" style="757" min="51" max="68"/>
    <col width="3.7109375" customWidth="1" style="757" min="69" max="69"/>
    <col width="4.5703125" customWidth="1" style="757" min="70" max="99"/>
  </cols>
  <sheetData>
    <row r="1" ht="19.5" customFormat="1" customHeight="1" s="4" thickBot="1">
      <c r="A1" s="788" t="inlineStr">
        <is>
          <t>GENER</t>
        </is>
      </c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42" t="n"/>
      <c r="AJ1" s="524" t="inlineStr">
        <is>
          <t>21 DIES</t>
        </is>
      </c>
      <c r="AK1" s="718" t="inlineStr">
        <is>
          <t>data actualització</t>
        </is>
      </c>
      <c r="AR1" s="720" t="n">
        <v>44893</v>
      </c>
    </row>
    <row r="2" ht="63" customFormat="1" customHeight="1" s="5">
      <c r="A2" s="7" t="inlineStr">
        <is>
          <t>AULA</t>
        </is>
      </c>
      <c r="B2" s="8" t="inlineStr">
        <is>
          <t>INICI</t>
        </is>
      </c>
      <c r="C2" s="8" t="inlineStr">
        <is>
          <t>FINAL</t>
        </is>
      </c>
      <c r="D2" s="8" t="inlineStr">
        <is>
          <t>AULA</t>
        </is>
      </c>
      <c r="E2" s="9" t="n">
        <v>44927</v>
      </c>
      <c r="F2" s="9" t="n">
        <v>44928</v>
      </c>
      <c r="G2" s="9" t="n">
        <v>44929</v>
      </c>
      <c r="H2" s="9" t="n">
        <v>44930</v>
      </c>
      <c r="I2" s="9" t="n">
        <v>44931</v>
      </c>
      <c r="J2" s="9" t="n">
        <v>44932</v>
      </c>
      <c r="K2" s="9" t="n">
        <v>44933</v>
      </c>
      <c r="L2" s="9" t="n">
        <v>44934</v>
      </c>
      <c r="M2" s="9" t="n">
        <v>44935</v>
      </c>
      <c r="N2" s="9" t="n">
        <v>44936</v>
      </c>
      <c r="O2" s="9" t="n">
        <v>44937</v>
      </c>
      <c r="P2" s="9" t="n">
        <v>44938</v>
      </c>
      <c r="Q2" s="9" t="n">
        <v>44939</v>
      </c>
      <c r="R2" s="9" t="n">
        <v>44940</v>
      </c>
      <c r="S2" s="9" t="n">
        <v>44941</v>
      </c>
      <c r="T2" s="9" t="n">
        <v>44942</v>
      </c>
      <c r="U2" s="9" t="n">
        <v>44943</v>
      </c>
      <c r="V2" s="9" t="n">
        <v>44944</v>
      </c>
      <c r="W2" s="9" t="n">
        <v>44945</v>
      </c>
      <c r="X2" s="9" t="n">
        <v>44946</v>
      </c>
      <c r="Y2" s="9" t="n">
        <v>44947</v>
      </c>
      <c r="Z2" s="9" t="n">
        <v>44948</v>
      </c>
      <c r="AA2" s="9" t="n">
        <v>44949</v>
      </c>
      <c r="AB2" s="9" t="n">
        <v>44950</v>
      </c>
      <c r="AC2" s="9" t="n">
        <v>44951</v>
      </c>
      <c r="AD2" s="9" t="n">
        <v>44952</v>
      </c>
      <c r="AE2" s="9" t="n">
        <v>44953</v>
      </c>
      <c r="AF2" s="9" t="n">
        <v>44954</v>
      </c>
      <c r="AG2" s="9" t="n">
        <v>44955</v>
      </c>
      <c r="AH2" s="9" t="n">
        <v>44956</v>
      </c>
      <c r="AI2" s="9" t="n">
        <v>44957</v>
      </c>
      <c r="AJ2" s="4" t="n"/>
      <c r="AK2" t="inlineStr">
        <is>
          <t>NOM DEL CURS</t>
        </is>
      </c>
    </row>
    <row r="3" ht="15.75" customHeight="1" s="757">
      <c r="A3" s="10" t="inlineStr">
        <is>
          <t>GOOGLE MATINS</t>
        </is>
      </c>
      <c r="B3" s="11" t="n"/>
      <c r="C3" s="11" t="n"/>
      <c r="D3" s="12" t="n"/>
      <c r="E3" s="84" t="n"/>
      <c r="F3" s="85" t="n"/>
      <c r="G3" s="85" t="n"/>
      <c r="H3" s="85" t="n"/>
      <c r="I3" s="85" t="n"/>
      <c r="J3" s="26" t="n"/>
      <c r="K3" s="84" t="n"/>
      <c r="L3" s="84" t="n"/>
      <c r="M3" s="93" t="n">
        <v>3</v>
      </c>
      <c r="N3" s="93" t="n">
        <v>3</v>
      </c>
      <c r="O3" s="93" t="n">
        <v>3</v>
      </c>
      <c r="P3" s="93" t="n">
        <v>3</v>
      </c>
      <c r="Q3" s="93" t="n">
        <v>3</v>
      </c>
      <c r="R3" s="84" t="n"/>
      <c r="S3" s="84" t="n"/>
      <c r="T3" s="93" t="n">
        <v>3</v>
      </c>
      <c r="U3" s="93" t="n">
        <v>3</v>
      </c>
      <c r="V3" s="93" t="n">
        <v>3</v>
      </c>
      <c r="W3" s="93" t="n">
        <v>3</v>
      </c>
      <c r="X3" s="93" t="n">
        <v>3</v>
      </c>
      <c r="Y3" s="84" t="n"/>
      <c r="Z3" s="84" t="n"/>
      <c r="AA3" s="85" t="n"/>
      <c r="AB3" s="29" t="n"/>
      <c r="AC3" s="29" t="n"/>
      <c r="AD3" s="85" t="n"/>
      <c r="AE3" s="85" t="n"/>
      <c r="AF3" s="84" t="n"/>
      <c r="AG3" s="84" t="n"/>
      <c r="AH3" s="90" t="n">
        <v>5</v>
      </c>
      <c r="AI3" s="90" t="n">
        <v>5</v>
      </c>
      <c r="AJ3" s="4" t="n"/>
      <c r="AK3" s="59" t="n"/>
      <c r="AM3" s="59" t="n"/>
      <c r="AQ3" s="525" t="inlineStr">
        <is>
          <t>8H-14H vam</t>
        </is>
      </c>
      <c r="AR3" s="52" t="n"/>
    </row>
    <row r="4" ht="16.5" customHeight="1" s="757" thickBot="1">
      <c r="A4" s="14" t="inlineStr">
        <is>
          <t>FIREFOX MATINS</t>
        </is>
      </c>
      <c r="B4" s="15" t="n"/>
      <c r="C4" s="15" t="n"/>
      <c r="D4" s="15" t="n"/>
      <c r="E4" s="86" t="n"/>
      <c r="F4" s="87" t="n"/>
      <c r="G4" s="87" t="n"/>
      <c r="H4" s="87" t="n"/>
      <c r="I4" s="87" t="n"/>
      <c r="J4" s="27" t="n"/>
      <c r="K4" s="86" t="n"/>
      <c r="L4" s="86" t="n"/>
      <c r="M4" s="87" t="n"/>
      <c r="N4" s="87" t="n"/>
      <c r="O4" s="87" t="n"/>
      <c r="P4" s="87" t="n"/>
      <c r="Q4" s="87" t="n"/>
      <c r="R4" s="86" t="n"/>
      <c r="S4" s="86" t="n"/>
      <c r="T4" s="94" t="n">
        <v>4</v>
      </c>
      <c r="U4" s="94" t="n">
        <v>4</v>
      </c>
      <c r="V4" s="94" t="n">
        <v>4</v>
      </c>
      <c r="W4" s="94" t="n">
        <v>4</v>
      </c>
      <c r="X4" s="94" t="n">
        <v>4</v>
      </c>
      <c r="Y4" s="86" t="n"/>
      <c r="Z4" s="86" t="n"/>
      <c r="AA4" s="94" t="n">
        <v>4</v>
      </c>
      <c r="AB4" s="94" t="n">
        <v>4</v>
      </c>
      <c r="AC4" s="94" t="n">
        <v>4</v>
      </c>
      <c r="AD4" s="94" t="n">
        <v>4</v>
      </c>
      <c r="AE4" s="94" t="n">
        <v>4</v>
      </c>
      <c r="AF4" s="86" t="n"/>
      <c r="AG4" s="86" t="n"/>
      <c r="AH4" s="87" t="n"/>
      <c r="AI4" s="87" t="n"/>
      <c r="AJ4" s="4" t="n"/>
    </row>
    <row r="5" ht="15.75" customHeight="1" s="757" thickTop="1">
      <c r="A5" s="17" t="inlineStr">
        <is>
          <t>GOOGLE TARDA</t>
        </is>
      </c>
      <c r="B5" s="18" t="n"/>
      <c r="C5" s="18" t="n"/>
      <c r="D5" s="18" t="n"/>
      <c r="E5" s="88" t="n"/>
      <c r="F5" s="89" t="n"/>
      <c r="G5" s="89" t="n"/>
      <c r="H5" s="89" t="n"/>
      <c r="I5" s="89" t="n"/>
      <c r="J5" s="28" t="n"/>
      <c r="K5" s="88" t="n"/>
      <c r="L5" s="88" t="n"/>
      <c r="M5" s="69" t="n"/>
      <c r="N5" s="69" t="n"/>
      <c r="O5" s="69" t="n"/>
      <c r="P5" s="69" t="n"/>
      <c r="Q5" s="69" t="n"/>
      <c r="R5" s="84" t="n"/>
      <c r="S5" s="84" t="n"/>
      <c r="T5" s="69" t="n"/>
      <c r="U5" s="69" t="n"/>
      <c r="V5" s="69" t="n"/>
      <c r="W5" s="69" t="n"/>
      <c r="X5" s="69" t="n"/>
      <c r="Y5" s="88" t="n"/>
      <c r="Z5" s="88" t="n"/>
      <c r="AA5" s="135" t="n"/>
      <c r="AB5" s="135" t="n"/>
      <c r="AC5" s="135" t="n"/>
      <c r="AD5" s="135" t="n"/>
      <c r="AE5" s="135" t="n"/>
      <c r="AF5" s="88" t="n"/>
      <c r="AG5" s="88" t="n"/>
      <c r="AH5" s="135" t="n"/>
      <c r="AI5" s="135" t="n"/>
      <c r="AJ5" s="140" t="n">
        <v>17</v>
      </c>
      <c r="AK5" s="705" t="n"/>
      <c r="AL5" s="526" t="inlineStr">
        <is>
          <t>ADGG0408</t>
        </is>
      </c>
      <c r="AM5" s="74" t="n"/>
      <c r="AN5" s="74" t="n"/>
    </row>
    <row r="6" ht="18.75" customHeight="1" s="757">
      <c r="A6" s="10" t="inlineStr">
        <is>
          <t>FIREFOX TARDA</t>
        </is>
      </c>
      <c r="B6" s="11" t="n"/>
      <c r="C6" s="11" t="n"/>
      <c r="D6" s="12" t="n"/>
      <c r="E6" s="84" t="n"/>
      <c r="F6" s="85" t="n"/>
      <c r="G6" s="85" t="n"/>
      <c r="H6" s="85" t="n"/>
      <c r="I6" s="85" t="n"/>
      <c r="J6" s="26" t="n"/>
      <c r="K6" s="84" t="n"/>
      <c r="L6" s="84" t="n"/>
      <c r="M6" s="85" t="n"/>
      <c r="N6" s="85" t="n"/>
      <c r="O6" s="85" t="n"/>
      <c r="P6" s="85" t="n"/>
      <c r="Q6" s="85" t="n"/>
      <c r="R6" s="84" t="n"/>
      <c r="S6" s="84" t="n"/>
      <c r="T6" s="153" t="n"/>
      <c r="U6" s="153" t="n"/>
      <c r="V6" s="153" t="n"/>
      <c r="W6" s="153" t="n"/>
      <c r="X6" s="153" t="n"/>
      <c r="Y6" s="84" t="n"/>
      <c r="Z6" s="84" t="n"/>
      <c r="AA6" s="154" t="n"/>
      <c r="AB6" s="154" t="n"/>
      <c r="AC6" s="154" t="n"/>
      <c r="AD6" s="154" t="n"/>
      <c r="AE6" s="153" t="n"/>
      <c r="AF6" s="84" t="n"/>
      <c r="AG6" s="84" t="n"/>
      <c r="AH6" s="85" t="n"/>
      <c r="AI6" s="85" t="n"/>
      <c r="AJ6" s="4" t="n"/>
      <c r="AK6" s="705" t="n"/>
      <c r="AO6" s="117" t="inlineStr">
        <is>
          <t>ACTIC MITJA</t>
        </is>
      </c>
      <c r="AP6" s="117" t="n"/>
      <c r="AQ6" s="117" t="n"/>
    </row>
    <row r="7" ht="15.75" customHeight="1" s="757">
      <c r="A7" s="10" t="inlineStr">
        <is>
          <t>TARRAGONA mati</t>
        </is>
      </c>
      <c r="B7" s="11" t="n"/>
      <c r="C7" s="11" t="n"/>
      <c r="D7" s="12" t="n"/>
      <c r="E7" s="84" t="n"/>
      <c r="F7" s="85" t="n"/>
      <c r="G7" s="85" t="n"/>
      <c r="H7" s="85" t="n"/>
      <c r="I7" s="85" t="n"/>
      <c r="J7" s="26" t="n"/>
      <c r="K7" s="84" t="n"/>
      <c r="L7" s="84" t="n"/>
      <c r="M7" s="85" t="n"/>
      <c r="N7" s="85" t="n"/>
      <c r="O7" s="85" t="n"/>
      <c r="P7" s="85" t="n"/>
      <c r="Q7" s="85" t="n"/>
      <c r="R7" s="84" t="n"/>
      <c r="S7" s="84" t="n"/>
      <c r="T7" s="85" t="n"/>
      <c r="U7" s="85" t="n"/>
      <c r="V7" s="85" t="n"/>
      <c r="W7" s="85" t="n"/>
      <c r="X7" s="85" t="n"/>
      <c r="Y7" s="84" t="n"/>
      <c r="Z7" s="84" t="n"/>
      <c r="AA7" s="85" t="n"/>
      <c r="AB7" s="85" t="n"/>
      <c r="AC7" s="85" t="n"/>
      <c r="AD7" s="85" t="n"/>
      <c r="AE7" s="85" t="n"/>
      <c r="AF7" s="84" t="n"/>
      <c r="AG7" s="84" t="n"/>
      <c r="AH7" s="85" t="n"/>
      <c r="AI7" s="85" t="n"/>
      <c r="AJ7" s="4" t="n"/>
      <c r="AK7" s="705" t="n"/>
      <c r="AR7" s="146" t="n"/>
    </row>
    <row r="8" ht="15.75" customHeight="1" s="757">
      <c r="A8" s="10" t="inlineStr">
        <is>
          <t>TARRAGONA tarda</t>
        </is>
      </c>
      <c r="B8" s="11" t="n"/>
      <c r="C8" s="11" t="n"/>
      <c r="D8" s="12" t="n"/>
      <c r="E8" s="84" t="n"/>
      <c r="F8" s="85" t="n"/>
      <c r="G8" s="85" t="n"/>
      <c r="H8" s="85" t="n"/>
      <c r="I8" s="85" t="n"/>
      <c r="J8" s="26" t="n"/>
      <c r="K8" s="84" t="n"/>
      <c r="L8" s="84" t="n"/>
      <c r="M8" s="85" t="n"/>
      <c r="N8" s="85" t="n"/>
      <c r="O8" s="85" t="n"/>
      <c r="P8" s="85" t="n"/>
      <c r="Q8" s="85" t="n"/>
      <c r="R8" s="84" t="n"/>
      <c r="S8" s="84" t="n"/>
      <c r="T8" s="527" t="inlineStr">
        <is>
          <t>15-18</t>
        </is>
      </c>
      <c r="U8" s="85" t="n"/>
      <c r="V8" s="31" t="n"/>
      <c r="W8" s="31" t="n"/>
      <c r="X8" s="85" t="n"/>
      <c r="Y8" s="84" t="n"/>
      <c r="Z8" s="84" t="n"/>
      <c r="AA8" s="85" t="n"/>
      <c r="AB8" s="85" t="n"/>
      <c r="AC8" s="85" t="n"/>
      <c r="AD8" s="85" t="n"/>
      <c r="AE8" s="85" t="n"/>
      <c r="AF8" s="84" t="n"/>
      <c r="AG8" s="84" t="n"/>
      <c r="AH8" s="85" t="n"/>
      <c r="AI8" s="85" t="n"/>
      <c r="AJ8" s="4" t="n"/>
      <c r="AK8" s="705" t="n"/>
      <c r="AL8" s="51" t="inlineStr">
        <is>
          <t>EXCEL TECLA</t>
        </is>
      </c>
      <c r="AM8" s="51" t="n"/>
      <c r="AN8" s="51" t="n"/>
    </row>
    <row r="9" ht="19.5" customFormat="1" customHeight="1" s="4" thickBot="1">
      <c r="A9" s="788" t="inlineStr">
        <is>
          <t>FEBRER</t>
        </is>
      </c>
      <c r="B9" s="156" t="n"/>
      <c r="C9" s="156" t="n"/>
      <c r="D9" s="156" t="n"/>
      <c r="E9" s="156" t="n"/>
      <c r="F9" s="156" t="n"/>
      <c r="G9" s="156" t="n"/>
      <c r="H9" s="156" t="n"/>
      <c r="I9" s="156" t="n"/>
      <c r="J9" s="156" t="n"/>
      <c r="K9" s="156" t="n"/>
      <c r="L9" s="156" t="n"/>
      <c r="M9" s="156" t="n"/>
      <c r="N9" s="156" t="n"/>
      <c r="O9" s="156" t="n"/>
      <c r="P9" s="156" t="n"/>
      <c r="Q9" s="156" t="n"/>
      <c r="R9" s="156" t="n"/>
      <c r="S9" s="156" t="n"/>
      <c r="T9" s="156" t="n"/>
      <c r="U9" s="156" t="n"/>
      <c r="V9" s="156" t="n"/>
      <c r="W9" s="156" t="n"/>
      <c r="X9" s="156" t="n"/>
      <c r="Y9" s="156" t="n"/>
      <c r="Z9" s="156" t="n"/>
      <c r="AA9" s="156" t="n"/>
      <c r="AB9" s="156" t="n"/>
      <c r="AC9" s="156" t="n"/>
      <c r="AD9" s="156" t="n"/>
      <c r="AE9" s="156" t="n"/>
      <c r="AF9" s="156" t="n"/>
      <c r="AG9" s="156" t="n"/>
      <c r="AH9" s="156" t="n"/>
      <c r="AI9" s="142" t="n"/>
      <c r="AJ9" s="524" t="inlineStr">
        <is>
          <t>20 DIES</t>
        </is>
      </c>
      <c r="AK9" s="718" t="n"/>
      <c r="AR9" s="720" t="n"/>
    </row>
    <row r="10" ht="66" customFormat="1" customHeight="1" s="5">
      <c r="A10" s="7" t="inlineStr">
        <is>
          <t>AULA</t>
        </is>
      </c>
      <c r="B10" s="8" t="inlineStr">
        <is>
          <t>INICI</t>
        </is>
      </c>
      <c r="C10" s="8" t="inlineStr">
        <is>
          <t>FINAL</t>
        </is>
      </c>
      <c r="D10" s="8" t="inlineStr">
        <is>
          <t>AULA</t>
        </is>
      </c>
      <c r="E10" s="9" t="n">
        <v>44958</v>
      </c>
      <c r="F10" s="9" t="n">
        <v>44959</v>
      </c>
      <c r="G10" s="9" t="n">
        <v>44960</v>
      </c>
      <c r="H10" s="9" t="n">
        <v>44961</v>
      </c>
      <c r="I10" s="9" t="n">
        <v>44962</v>
      </c>
      <c r="J10" s="9" t="n">
        <v>44963</v>
      </c>
      <c r="K10" s="9" t="n">
        <v>44964</v>
      </c>
      <c r="L10" s="9" t="n">
        <v>44965</v>
      </c>
      <c r="M10" s="9" t="n">
        <v>44966</v>
      </c>
      <c r="N10" s="9" t="n">
        <v>44967</v>
      </c>
      <c r="O10" s="9" t="n">
        <v>44968</v>
      </c>
      <c r="P10" s="9" t="n">
        <v>44969</v>
      </c>
      <c r="Q10" s="9" t="n">
        <v>44970</v>
      </c>
      <c r="R10" s="9" t="n">
        <v>44971</v>
      </c>
      <c r="S10" s="9" t="n">
        <v>44972</v>
      </c>
      <c r="T10" s="9" t="n">
        <v>44973</v>
      </c>
      <c r="U10" s="9" t="n">
        <v>44974</v>
      </c>
      <c r="V10" s="9" t="n">
        <v>44975</v>
      </c>
      <c r="W10" s="9" t="n">
        <v>44976</v>
      </c>
      <c r="X10" s="9" t="n">
        <v>44977</v>
      </c>
      <c r="Y10" s="9" t="n">
        <v>44978</v>
      </c>
      <c r="Z10" s="9" t="n">
        <v>44979</v>
      </c>
      <c r="AA10" s="9" t="n">
        <v>44980</v>
      </c>
      <c r="AB10" s="9" t="n">
        <v>44981</v>
      </c>
      <c r="AC10" s="9" t="n">
        <v>44982</v>
      </c>
      <c r="AD10" s="9" t="n">
        <v>44983</v>
      </c>
      <c r="AE10" s="9" t="n">
        <v>44984</v>
      </c>
      <c r="AF10" s="9" t="n">
        <v>44985</v>
      </c>
      <c r="AG10" s="9" t="n"/>
      <c r="AH10" s="9" t="n"/>
      <c r="AI10" s="9" t="n"/>
      <c r="AJ10" s="4" t="n"/>
      <c r="AK10" s="705" t="n"/>
    </row>
    <row r="11" ht="16.5" customHeight="1" s="757" thickBot="1">
      <c r="A11" s="10" t="inlineStr">
        <is>
          <t>GOOGLE MATINS</t>
        </is>
      </c>
      <c r="B11" s="11" t="n"/>
      <c r="C11" s="11" t="n"/>
      <c r="D11" s="12" t="n"/>
      <c r="E11" s="90" t="n">
        <v>5</v>
      </c>
      <c r="F11" s="90" t="n">
        <v>5</v>
      </c>
      <c r="G11" s="134" t="n">
        <v>5</v>
      </c>
      <c r="H11" s="84" t="n"/>
      <c r="I11" s="84" t="n"/>
      <c r="J11" s="90" t="n">
        <v>5</v>
      </c>
      <c r="K11" s="90" t="n">
        <v>5</v>
      </c>
      <c r="L11" s="90" t="n">
        <v>5</v>
      </c>
      <c r="M11" s="90" t="n">
        <v>5</v>
      </c>
      <c r="N11" s="90" t="n">
        <v>5</v>
      </c>
      <c r="O11" s="84" t="n"/>
      <c r="P11" s="84" t="n"/>
      <c r="Q11" s="160" t="n">
        <v>12</v>
      </c>
      <c r="R11" s="161" t="n">
        <v>12</v>
      </c>
      <c r="S11" s="161" t="n">
        <v>12</v>
      </c>
      <c r="T11" s="161" t="n">
        <v>12</v>
      </c>
      <c r="U11" s="162" t="n">
        <v>12</v>
      </c>
      <c r="V11" s="86" t="n"/>
      <c r="W11" s="86" t="n"/>
      <c r="X11" s="161" t="n">
        <v>12</v>
      </c>
      <c r="Y11" s="161" t="n">
        <v>12</v>
      </c>
      <c r="Z11" s="161" t="n">
        <v>12</v>
      </c>
      <c r="AA11" s="162" t="n">
        <v>12</v>
      </c>
      <c r="AB11" s="91" t="n">
        <v>8</v>
      </c>
      <c r="AG11" s="756" t="n"/>
      <c r="AH11" s="756" t="n"/>
      <c r="AI11" s="756" t="n"/>
      <c r="AJ11" s="4" t="n"/>
      <c r="AK11" s="59" t="n"/>
      <c r="AM11" s="59" t="n"/>
    </row>
    <row r="12" ht="17.25" customHeight="1" s="757" thickBot="1" thickTop="1">
      <c r="A12" s="14" t="inlineStr">
        <is>
          <t>FIREFOX MATINS</t>
        </is>
      </c>
      <c r="B12" s="15" t="n"/>
      <c r="C12" s="15" t="n"/>
      <c r="D12" s="15" t="n"/>
      <c r="E12" s="778" t="n"/>
      <c r="F12" s="778" t="n"/>
      <c r="G12" s="778" t="n"/>
      <c r="H12" s="86" t="n"/>
      <c r="I12" s="86" t="n"/>
      <c r="J12" s="155" t="n"/>
      <c r="K12" s="155" t="n"/>
      <c r="L12" s="155" t="n"/>
      <c r="M12" s="155" t="n"/>
      <c r="N12" s="155" t="n"/>
      <c r="O12" s="86" t="n"/>
      <c r="P12" s="86" t="n"/>
      <c r="Q12" s="163" t="n"/>
      <c r="R12" s="156" t="n"/>
      <c r="S12" s="156" t="n"/>
      <c r="T12" s="156" t="n"/>
      <c r="U12" s="156" t="n"/>
      <c r="X12" s="91" t="n">
        <v>8</v>
      </c>
      <c r="Y12" s="91" t="n">
        <v>8</v>
      </c>
      <c r="Z12" s="91" t="n">
        <v>8</v>
      </c>
      <c r="AA12" s="91" t="n">
        <v>8</v>
      </c>
      <c r="AB12" s="29" t="n"/>
      <c r="AC12" s="84" t="n"/>
      <c r="AD12" s="84" t="n"/>
      <c r="AE12" s="91" t="n">
        <v>8</v>
      </c>
      <c r="AF12" s="91" t="n">
        <v>8</v>
      </c>
      <c r="AG12" s="778" t="n"/>
      <c r="AH12" s="778" t="n"/>
      <c r="AI12" s="778" t="n"/>
      <c r="AJ12" s="4" t="n"/>
      <c r="AK12" s="59" t="n"/>
      <c r="AQ12" s="525" t="inlineStr">
        <is>
          <t>8:30-14:30 vam</t>
        </is>
      </c>
      <c r="AR12" s="52" t="n"/>
      <c r="AS12" s="52" t="n"/>
    </row>
    <row r="13" ht="16.5" customHeight="1" s="757" thickTop="1">
      <c r="A13" s="17" t="inlineStr">
        <is>
          <t>GOOGLE TARDA</t>
        </is>
      </c>
      <c r="B13" s="18" t="n"/>
      <c r="C13" s="18" t="n"/>
      <c r="D13" s="18" t="n"/>
      <c r="E13" s="135" t="n"/>
      <c r="F13" s="135" t="n"/>
      <c r="G13" s="135" t="n"/>
      <c r="H13" s="88" t="n"/>
      <c r="I13" s="88" t="n"/>
      <c r="J13" s="135" t="n"/>
      <c r="K13" s="136" t="n"/>
      <c r="L13" s="136" t="n"/>
      <c r="M13" s="136" t="n"/>
      <c r="N13" s="136" t="n"/>
      <c r="O13" s="95" t="n"/>
      <c r="P13" s="88" t="n"/>
      <c r="Q13" s="137" t="n"/>
      <c r="R13" s="137" t="n"/>
      <c r="S13" s="137" t="n"/>
      <c r="T13" s="137" t="n"/>
      <c r="U13" s="137" t="n"/>
      <c r="V13" s="84" t="n"/>
      <c r="W13" s="84" t="n"/>
      <c r="X13" s="137" t="n"/>
      <c r="Y13" s="137" t="n"/>
      <c r="Z13" s="137" t="n"/>
      <c r="AA13" s="137" t="n"/>
      <c r="AB13" s="137" t="n"/>
      <c r="AC13" s="88" t="n"/>
      <c r="AD13" s="88" t="n"/>
      <c r="AE13" s="135" t="n"/>
      <c r="AF13" s="135" t="n"/>
      <c r="AG13" s="755" t="n"/>
      <c r="AH13" s="755" t="n"/>
      <c r="AI13" s="755" t="n"/>
      <c r="AJ13" s="140" t="n">
        <v>23</v>
      </c>
      <c r="AK13" s="59" t="n"/>
      <c r="AL13" s="526" t="inlineStr">
        <is>
          <t>ADGG0408</t>
        </is>
      </c>
      <c r="AM13" s="74" t="n"/>
      <c r="AN13" s="74" t="n"/>
    </row>
    <row r="14" ht="15.75" customHeight="1" s="757">
      <c r="A14" s="10" t="inlineStr">
        <is>
          <t>FIREFOX TARDA</t>
        </is>
      </c>
      <c r="B14" s="11" t="n"/>
      <c r="C14" s="11" t="n"/>
      <c r="D14" s="12" t="n"/>
      <c r="E14" s="58" t="n"/>
      <c r="F14" s="756" t="n"/>
      <c r="G14" s="756" t="n"/>
      <c r="H14" s="84" t="n"/>
      <c r="I14" s="84" t="n"/>
      <c r="J14" s="96" t="n">
        <v>7</v>
      </c>
      <c r="K14" s="96" t="n">
        <v>7</v>
      </c>
      <c r="L14" s="96" t="n">
        <v>7</v>
      </c>
      <c r="M14" s="96" t="n">
        <v>7</v>
      </c>
      <c r="N14" s="96" t="n">
        <v>7</v>
      </c>
      <c r="O14" s="84" t="n"/>
      <c r="P14" s="84" t="n"/>
      <c r="Q14" s="96" t="n">
        <v>7</v>
      </c>
      <c r="R14" s="96" t="n">
        <v>7</v>
      </c>
      <c r="S14" s="96" t="n">
        <v>7</v>
      </c>
      <c r="T14" s="96" t="n">
        <v>7</v>
      </c>
      <c r="U14" s="96" t="n">
        <v>7</v>
      </c>
      <c r="V14" s="84" t="n"/>
      <c r="W14" s="84" t="n"/>
      <c r="X14" s="164" t="n"/>
      <c r="Y14" s="164" t="n"/>
      <c r="Z14" s="164" t="n"/>
      <c r="AA14" s="164" t="n"/>
      <c r="AB14" s="164" t="n"/>
      <c r="AC14" s="84" t="n"/>
      <c r="AD14" s="84" t="n"/>
      <c r="AE14" s="96" t="n">
        <v>9</v>
      </c>
      <c r="AF14" s="96" t="n">
        <v>9</v>
      </c>
      <c r="AG14" s="756" t="n"/>
      <c r="AH14" s="756" t="n"/>
      <c r="AI14" s="756" t="n"/>
      <c r="AJ14" s="4" t="n"/>
      <c r="AK14" s="715" t="n"/>
      <c r="AP14" s="99" t="n"/>
      <c r="AQ14" s="99" t="n"/>
      <c r="AR14" s="99" t="n"/>
      <c r="AS14" s="99" t="n"/>
      <c r="AT14" s="99" t="n"/>
      <c r="AU14" s="99" t="n"/>
    </row>
    <row r="15" ht="15.75" customHeight="1" s="757">
      <c r="A15" s="10" t="inlineStr">
        <is>
          <t>TARRAGONA mati</t>
        </is>
      </c>
      <c r="B15" s="11" t="n"/>
      <c r="C15" s="11" t="n"/>
      <c r="D15" s="12" t="n"/>
      <c r="E15" s="756" t="n"/>
      <c r="F15" s="756" t="n"/>
      <c r="G15" s="756" t="n"/>
      <c r="H15" s="84" t="n"/>
      <c r="I15" s="84" t="n"/>
      <c r="J15" s="756" t="n"/>
      <c r="K15" s="756" t="n"/>
      <c r="L15" s="756" t="n"/>
      <c r="M15" s="756" t="n"/>
      <c r="N15" s="756" t="n"/>
      <c r="O15" s="84" t="n"/>
      <c r="P15" s="84" t="n"/>
      <c r="Q15" s="756" t="n"/>
      <c r="R15" s="756" t="n"/>
      <c r="S15" s="756" t="n"/>
      <c r="T15" s="756" t="n"/>
      <c r="U15" s="756" t="n"/>
      <c r="V15" s="84" t="n"/>
      <c r="W15" s="84" t="n"/>
      <c r="X15" s="756" t="n"/>
      <c r="Y15" s="756" t="n"/>
      <c r="Z15" s="756" t="n"/>
      <c r="AA15" s="756" t="n"/>
      <c r="AB15" s="756" t="n"/>
      <c r="AC15" s="84" t="n"/>
      <c r="AD15" s="84" t="n"/>
      <c r="AE15" s="756" t="n"/>
      <c r="AF15" s="756" t="n"/>
      <c r="AG15" s="756" t="n"/>
      <c r="AH15" s="756" t="n"/>
      <c r="AI15" s="756" t="n"/>
      <c r="AJ15" s="4" t="n"/>
      <c r="AK15" s="59" t="n"/>
      <c r="AL15" s="528" t="inlineStr">
        <is>
          <t>LLOGUER AULA</t>
        </is>
      </c>
      <c r="AM15" s="58" t="n"/>
      <c r="AN15" s="58" t="n"/>
      <c r="AO15" s="716" t="n"/>
      <c r="AR15" s="716" t="n"/>
    </row>
    <row r="16" ht="15.75" customHeight="1" s="757">
      <c r="A16" s="10" t="inlineStr">
        <is>
          <t>TARRAGONA tarda</t>
        </is>
      </c>
      <c r="B16" s="11" t="n"/>
      <c r="C16" s="11" t="n"/>
      <c r="D16" s="12" t="n"/>
      <c r="E16" s="756" t="n"/>
      <c r="F16" s="756" t="n"/>
      <c r="G16" s="756" t="n"/>
      <c r="H16" s="84" t="n"/>
      <c r="I16" s="84" t="n"/>
      <c r="J16" s="756" t="n"/>
      <c r="K16" s="756" t="n"/>
      <c r="L16" s="756" t="n"/>
      <c r="M16" s="756" t="n"/>
      <c r="N16" s="756" t="n"/>
      <c r="O16" s="84" t="n"/>
      <c r="P16" s="84" t="n"/>
      <c r="Q16" s="756" t="n"/>
      <c r="R16" s="756" t="n"/>
      <c r="S16" s="756" t="n"/>
      <c r="T16" s="756" t="n"/>
      <c r="U16" s="756" t="n"/>
      <c r="V16" s="84" t="n"/>
      <c r="W16" s="84" t="n"/>
      <c r="X16" s="756" t="n"/>
      <c r="Y16" s="756" t="n"/>
      <c r="Z16" s="756" t="n"/>
      <c r="AA16" s="756" t="n"/>
      <c r="AB16" s="756" t="n"/>
      <c r="AC16" s="84" t="n"/>
      <c r="AD16" s="84" t="n"/>
      <c r="AE16" s="756" t="n"/>
      <c r="AF16" s="756" t="n"/>
      <c r="AG16" s="756" t="n"/>
      <c r="AH16" s="756" t="n"/>
      <c r="AI16" s="85" t="n"/>
      <c r="AJ16" s="4" t="n"/>
      <c r="AK16" s="705" t="n"/>
      <c r="AL16" s="51" t="inlineStr">
        <is>
          <t>EXCEL TECLA</t>
        </is>
      </c>
      <c r="AM16" s="51" t="n"/>
      <c r="AN16" s="51" t="n"/>
    </row>
    <row r="17" ht="19.5" customFormat="1" customHeight="1" s="4" thickBot="1">
      <c r="A17" s="788" t="inlineStr">
        <is>
          <t>MARÇ</t>
        </is>
      </c>
      <c r="B17" s="156" t="n"/>
      <c r="C17" s="156" t="n"/>
      <c r="D17" s="156" t="n"/>
      <c r="E17" s="156" t="n"/>
      <c r="F17" s="156" t="n"/>
      <c r="G17" s="156" t="n"/>
      <c r="H17" s="156" t="n"/>
      <c r="I17" s="156" t="n"/>
      <c r="J17" s="156" t="n"/>
      <c r="K17" s="156" t="n"/>
      <c r="L17" s="156" t="n"/>
      <c r="M17" s="156" t="n"/>
      <c r="N17" s="156" t="n"/>
      <c r="O17" s="156" t="n"/>
      <c r="P17" s="156" t="n"/>
      <c r="Q17" s="156" t="n"/>
      <c r="R17" s="156" t="n"/>
      <c r="S17" s="156" t="n"/>
      <c r="T17" s="156" t="n"/>
      <c r="U17" s="156" t="n"/>
      <c r="V17" s="156" t="n"/>
      <c r="W17" s="156" t="n"/>
      <c r="X17" s="156" t="n"/>
      <c r="Y17" s="156" t="n"/>
      <c r="Z17" s="156" t="n"/>
      <c r="AA17" s="156" t="n"/>
      <c r="AB17" s="156" t="n"/>
      <c r="AC17" s="156" t="n"/>
      <c r="AD17" s="156" t="n"/>
      <c r="AE17" s="156" t="n"/>
      <c r="AF17" s="156" t="n"/>
      <c r="AG17" s="156" t="n"/>
      <c r="AH17" s="156" t="n"/>
      <c r="AI17" s="142" t="n"/>
      <c r="AJ17" s="524" t="inlineStr">
        <is>
          <t>20 DIES</t>
        </is>
      </c>
      <c r="AK17" s="718" t="n"/>
      <c r="AR17" s="720" t="n"/>
    </row>
    <row r="18" ht="60" customFormat="1" customHeight="1" s="5">
      <c r="A18" s="7" t="inlineStr">
        <is>
          <t>AULA</t>
        </is>
      </c>
      <c r="B18" s="8" t="inlineStr">
        <is>
          <t>INICI</t>
        </is>
      </c>
      <c r="C18" s="8" t="inlineStr">
        <is>
          <t>FINAL</t>
        </is>
      </c>
      <c r="D18" s="8" t="inlineStr">
        <is>
          <t>AULA</t>
        </is>
      </c>
      <c r="E18" s="9" t="n">
        <v>44986</v>
      </c>
      <c r="F18" s="9" t="n">
        <v>44987</v>
      </c>
      <c r="G18" s="9" t="n">
        <v>44988</v>
      </c>
      <c r="H18" s="9" t="n">
        <v>44989</v>
      </c>
      <c r="I18" s="9" t="n">
        <v>44990</v>
      </c>
      <c r="J18" s="9" t="n">
        <v>44991</v>
      </c>
      <c r="K18" s="9" t="n">
        <v>44992</v>
      </c>
      <c r="L18" s="9" t="n">
        <v>44993</v>
      </c>
      <c r="M18" s="9" t="n">
        <v>44994</v>
      </c>
      <c r="N18" s="9" t="n">
        <v>44995</v>
      </c>
      <c r="O18" s="9" t="n">
        <v>44996</v>
      </c>
      <c r="P18" s="9" t="n">
        <v>44997</v>
      </c>
      <c r="Q18" s="9" t="n">
        <v>44998</v>
      </c>
      <c r="R18" s="9" t="n">
        <v>44999</v>
      </c>
      <c r="S18" s="9" t="n">
        <v>45000</v>
      </c>
      <c r="T18" s="9" t="n">
        <v>45001</v>
      </c>
      <c r="U18" s="9" t="n">
        <v>45002</v>
      </c>
      <c r="V18" s="9" t="n">
        <v>45003</v>
      </c>
      <c r="W18" s="9" t="n">
        <v>45004</v>
      </c>
      <c r="X18" s="9" t="n">
        <v>45005</v>
      </c>
      <c r="Y18" s="9" t="n">
        <v>45006</v>
      </c>
      <c r="Z18" s="9" t="n">
        <v>45007</v>
      </c>
      <c r="AA18" s="9" t="n">
        <v>45008</v>
      </c>
      <c r="AB18" s="9" t="n">
        <v>45009</v>
      </c>
      <c r="AC18" s="9" t="n">
        <v>45010</v>
      </c>
      <c r="AD18" s="9" t="n">
        <v>45011</v>
      </c>
      <c r="AE18" s="9" t="n">
        <v>45012</v>
      </c>
      <c r="AF18" s="9" t="n">
        <v>45013</v>
      </c>
      <c r="AG18" s="9" t="n">
        <v>45014</v>
      </c>
      <c r="AH18" s="9" t="n">
        <v>45015</v>
      </c>
      <c r="AI18" s="9" t="n">
        <v>45016</v>
      </c>
      <c r="AJ18" s="4" t="n"/>
      <c r="AK18" s="705" t="n"/>
    </row>
    <row r="19" ht="15.75" customHeight="1" s="757">
      <c r="A19" s="10" t="inlineStr">
        <is>
          <t>GOOGLE MATINS</t>
        </is>
      </c>
      <c r="B19" s="11" t="n"/>
      <c r="C19" s="11" t="n"/>
      <c r="D19" s="12" t="n"/>
      <c r="E19" s="159" t="n"/>
      <c r="F19" s="159" t="n"/>
      <c r="G19" s="159" t="n"/>
      <c r="H19" s="84" t="n"/>
      <c r="I19" s="84" t="n"/>
      <c r="J19" s="529" t="inlineStr">
        <is>
          <t>6M</t>
        </is>
      </c>
      <c r="K19" s="165" t="n">
        <v>6</v>
      </c>
      <c r="L19" s="165" t="n">
        <v>6</v>
      </c>
      <c r="M19" s="165" t="n">
        <v>6</v>
      </c>
      <c r="N19" s="165" t="n">
        <v>6</v>
      </c>
      <c r="O19" s="84" t="n"/>
      <c r="P19" s="84" t="n"/>
      <c r="R19" s="166" t="n">
        <v>6</v>
      </c>
      <c r="S19" s="166" t="n">
        <v>6</v>
      </c>
      <c r="T19" s="166" t="n">
        <v>6</v>
      </c>
      <c r="U19" s="166" t="n">
        <v>6</v>
      </c>
      <c r="V19" s="84" t="n"/>
      <c r="W19" s="84" t="n"/>
      <c r="X19" s="756" t="n"/>
      <c r="Y19" s="530" t="inlineStr">
        <is>
          <t>R17</t>
        </is>
      </c>
      <c r="AA19" s="530" t="inlineStr">
        <is>
          <t>R17</t>
        </is>
      </c>
      <c r="AB19" s="756" t="n"/>
      <c r="AC19" s="84" t="n"/>
      <c r="AD19" s="84" t="n"/>
      <c r="AE19" s="756" t="n"/>
      <c r="AF19" s="58" t="n"/>
      <c r="AG19" s="530" t="inlineStr">
        <is>
          <t>R17</t>
        </is>
      </c>
      <c r="AH19" s="530" t="inlineStr">
        <is>
          <t>R17</t>
        </is>
      </c>
      <c r="AI19" s="530" t="inlineStr">
        <is>
          <t>R17</t>
        </is>
      </c>
      <c r="AJ19" s="4" t="n"/>
      <c r="AK19" s="59" t="n"/>
      <c r="AL19" s="531" t="inlineStr">
        <is>
          <t>arreglos aula</t>
        </is>
      </c>
      <c r="AM19" s="56" t="n"/>
      <c r="AN19" s="56" t="n"/>
    </row>
    <row r="20" ht="16.5" customHeight="1" s="757" thickBot="1">
      <c r="A20" s="14" t="inlineStr">
        <is>
          <t>FIREFOX MATINS</t>
        </is>
      </c>
      <c r="B20" s="15" t="n"/>
      <c r="C20" s="15" t="n"/>
      <c r="D20" s="15" t="n"/>
      <c r="E20" s="91" t="n">
        <v>8</v>
      </c>
      <c r="F20" s="91" t="n">
        <v>8</v>
      </c>
      <c r="G20" s="91" t="n">
        <v>8</v>
      </c>
      <c r="H20" s="86" t="n"/>
      <c r="I20" s="86" t="n"/>
      <c r="O20" s="86" t="n"/>
      <c r="P20" s="86" t="n"/>
      <c r="Q20" s="94" t="inlineStr">
        <is>
          <t>PIL</t>
        </is>
      </c>
      <c r="R20" s="94" t="inlineStr">
        <is>
          <t>PIL</t>
        </is>
      </c>
      <c r="S20" s="155" t="n"/>
      <c r="T20" s="94" t="n">
        <v>11</v>
      </c>
      <c r="U20" s="94" t="n">
        <v>11</v>
      </c>
      <c r="V20" s="86" t="n"/>
      <c r="W20" s="86" t="n"/>
      <c r="X20" s="94" t="n">
        <v>11</v>
      </c>
      <c r="Y20" s="94" t="n">
        <v>11</v>
      </c>
      <c r="Z20" s="94" t="n">
        <v>11</v>
      </c>
      <c r="AA20" s="94" t="n">
        <v>11</v>
      </c>
      <c r="AB20" s="168" t="n"/>
      <c r="AC20" s="86" t="n"/>
      <c r="AD20" s="86" t="n"/>
      <c r="AE20" s="170" t="n"/>
      <c r="AF20" s="530" t="inlineStr">
        <is>
          <t>R17</t>
        </is>
      </c>
      <c r="AG20" s="778" t="n"/>
      <c r="AH20" s="778" t="n"/>
      <c r="AI20" s="778" t="n"/>
      <c r="AJ20" s="4" t="n"/>
      <c r="AK20" s="59" t="n"/>
      <c r="AQ20" s="668" t="n"/>
    </row>
    <row r="21" ht="16.5" customHeight="1" s="757" thickTop="1">
      <c r="A21" s="17" t="inlineStr">
        <is>
          <t>GOOGLE TARDA</t>
        </is>
      </c>
      <c r="B21" s="18" t="n"/>
      <c r="C21" s="18" t="n"/>
      <c r="D21" s="18" t="n"/>
      <c r="E21" s="135" t="n"/>
      <c r="F21" s="135" t="n"/>
      <c r="G21" s="135" t="n"/>
      <c r="H21" s="88" t="n"/>
      <c r="I21" s="88" t="n"/>
      <c r="J21" s="532" t="inlineStr">
        <is>
          <t>M</t>
        </is>
      </c>
      <c r="K21" s="136" t="n"/>
      <c r="L21" s="532" t="inlineStr">
        <is>
          <t>M</t>
        </is>
      </c>
      <c r="M21" s="136" t="n"/>
      <c r="N21" s="136" t="n"/>
      <c r="O21" s="95" t="n"/>
      <c r="P21" s="88" t="n"/>
      <c r="Q21" s="533" t="inlineStr">
        <is>
          <t>M</t>
        </is>
      </c>
      <c r="R21" s="138" t="n"/>
      <c r="S21" s="138" t="inlineStr">
        <is>
          <t>P</t>
        </is>
      </c>
      <c r="T21" s="138" t="inlineStr">
        <is>
          <t>P</t>
        </is>
      </c>
      <c r="U21" s="138" t="inlineStr">
        <is>
          <t>P</t>
        </is>
      </c>
      <c r="V21" s="98" t="n"/>
      <c r="W21" s="98" t="n"/>
      <c r="X21" s="138" t="inlineStr">
        <is>
          <t>P</t>
        </is>
      </c>
      <c r="Y21" s="138" t="inlineStr">
        <is>
          <t>P</t>
        </is>
      </c>
      <c r="Z21" s="138" t="inlineStr">
        <is>
          <t>P</t>
        </is>
      </c>
      <c r="AA21" s="138" t="inlineStr">
        <is>
          <t>P</t>
        </is>
      </c>
      <c r="AB21" s="138" t="inlineStr">
        <is>
          <t>P</t>
        </is>
      </c>
      <c r="AC21" s="88" t="n"/>
      <c r="AD21" s="88" t="n"/>
      <c r="AE21" s="135" t="inlineStr">
        <is>
          <t>P</t>
        </is>
      </c>
      <c r="AF21" s="135" t="inlineStr">
        <is>
          <t>P</t>
        </is>
      </c>
      <c r="AG21" s="135" t="inlineStr">
        <is>
          <t>P</t>
        </is>
      </c>
      <c r="AH21" s="135" t="inlineStr">
        <is>
          <t>P</t>
        </is>
      </c>
      <c r="AI21" s="135" t="inlineStr">
        <is>
          <t>P</t>
        </is>
      </c>
      <c r="AJ21" s="140" t="n">
        <v>18</v>
      </c>
      <c r="AK21" s="59" t="n"/>
      <c r="AL21" s="526" t="inlineStr">
        <is>
          <t>ADGG0408</t>
        </is>
      </c>
      <c r="AM21" s="74" t="n"/>
      <c r="AN21" s="74" t="n"/>
    </row>
    <row r="22" ht="15.75" customHeight="1" s="757">
      <c r="A22" s="10" t="inlineStr">
        <is>
          <t>FIREFOX TARDA</t>
        </is>
      </c>
      <c r="B22" s="11" t="n"/>
      <c r="C22" s="11" t="n"/>
      <c r="D22" s="12" t="n"/>
      <c r="E22" s="96" t="n">
        <v>9</v>
      </c>
      <c r="F22" s="96" t="n">
        <v>9</v>
      </c>
      <c r="G22" s="96" t="n">
        <v>9</v>
      </c>
      <c r="H22" s="84" t="n"/>
      <c r="I22" s="84" t="n"/>
      <c r="J22" s="96" t="n">
        <v>9</v>
      </c>
      <c r="K22" s="96" t="n">
        <v>9</v>
      </c>
      <c r="L22" s="96" t="n">
        <v>9</v>
      </c>
      <c r="M22" s="96" t="n">
        <v>9</v>
      </c>
      <c r="N22" s="29" t="n"/>
      <c r="O22" s="84" t="n"/>
      <c r="P22" s="84" t="n"/>
      <c r="Q22" s="167" t="n"/>
      <c r="S22" s="167" t="n"/>
      <c r="T22" s="534" t="n"/>
      <c r="U22" s="167" t="n"/>
      <c r="V22" s="98" t="n"/>
      <c r="W22" s="98" t="n"/>
      <c r="X22" s="534" t="n"/>
      <c r="Y22" s="97" t="n">
        <v>10</v>
      </c>
      <c r="Z22" s="97" t="n">
        <v>10</v>
      </c>
      <c r="AA22" s="97" t="n">
        <v>10</v>
      </c>
      <c r="AB22" s="169" t="n"/>
      <c r="AC22" s="84" t="n"/>
      <c r="AD22" s="84" t="n"/>
      <c r="AE22" s="97" t="n">
        <v>10</v>
      </c>
      <c r="AF22" s="97" t="n">
        <v>10</v>
      </c>
      <c r="AG22" s="97" t="n">
        <v>10</v>
      </c>
      <c r="AH22" s="97" t="n">
        <v>10</v>
      </c>
      <c r="AI22" s="175" t="n"/>
      <c r="AJ22" s="4" t="n"/>
      <c r="AK22" s="59" t="n"/>
      <c r="AN22" s="99" t="n"/>
      <c r="AO22" s="717" t="inlineStr">
        <is>
          <t>16-20 vam</t>
        </is>
      </c>
      <c r="AR22" s="668" t="n"/>
      <c r="AT22" s="668" t="n"/>
    </row>
    <row r="23" ht="15.75" customHeight="1" s="757">
      <c r="A23" s="10" t="inlineStr">
        <is>
          <t>TARRAGONA mati</t>
        </is>
      </c>
      <c r="B23" s="11" t="n"/>
      <c r="C23" s="11" t="n"/>
      <c r="D23" s="12" t="n"/>
      <c r="E23" s="756" t="n"/>
      <c r="F23" s="756" t="n"/>
      <c r="G23" s="756" t="n"/>
      <c r="H23" s="84" t="n"/>
      <c r="I23" s="84" t="n"/>
      <c r="J23" s="535" t="inlineStr">
        <is>
          <t>R</t>
        </is>
      </c>
      <c r="K23" s="756" t="n"/>
      <c r="L23" s="535" t="inlineStr">
        <is>
          <t>R</t>
        </is>
      </c>
      <c r="M23" s="756" t="n"/>
      <c r="N23" s="756" t="n"/>
      <c r="O23" s="84" t="n"/>
      <c r="P23" s="84" t="n"/>
      <c r="Q23" s="535" t="inlineStr">
        <is>
          <t>R</t>
        </is>
      </c>
      <c r="R23" s="756" t="n"/>
      <c r="S23" s="535" t="inlineStr">
        <is>
          <t>R</t>
        </is>
      </c>
      <c r="T23" s="756" t="n"/>
      <c r="U23" s="756" t="n"/>
      <c r="V23" s="84" t="n"/>
      <c r="W23" s="84" t="n"/>
      <c r="X23" s="756" t="n"/>
      <c r="Y23" s="756" t="n"/>
      <c r="Z23" s="756" t="n"/>
      <c r="AA23" s="756" t="n"/>
      <c r="AB23" s="756" t="n"/>
      <c r="AC23" s="84" t="n"/>
      <c r="AD23" s="84" t="n"/>
      <c r="AE23" s="756" t="n"/>
      <c r="AF23" s="756" t="n"/>
      <c r="AG23" s="756" t="n"/>
      <c r="AH23" s="756" t="n"/>
      <c r="AI23" s="756" t="n"/>
      <c r="AJ23" s="4" t="n"/>
      <c r="AK23" s="710" t="inlineStr">
        <is>
          <t>EAPC</t>
        </is>
      </c>
      <c r="AO23" s="668" t="n"/>
      <c r="AR23" s="668" t="n"/>
      <c r="AT23" s="668" t="n"/>
    </row>
    <row r="24" ht="15.75" customHeight="1" s="757">
      <c r="A24" s="10" t="inlineStr">
        <is>
          <t>ON LINE</t>
        </is>
      </c>
      <c r="B24" s="11" t="n"/>
      <c r="C24" s="11" t="n"/>
      <c r="D24" s="12" t="n"/>
      <c r="E24" s="756" t="n"/>
      <c r="F24" s="756" t="n"/>
      <c r="G24" s="756" t="n"/>
      <c r="H24" s="84" t="n"/>
      <c r="I24" s="84" t="n"/>
      <c r="J24" s="756" t="n"/>
      <c r="K24" s="756" t="n"/>
      <c r="L24" s="756" t="n"/>
      <c r="M24" s="756" t="n"/>
      <c r="N24" s="756" t="n"/>
      <c r="O24" s="84" t="n"/>
      <c r="P24" s="84" t="n"/>
      <c r="Q24" s="756" t="n"/>
      <c r="R24" s="756" t="n"/>
      <c r="S24" s="756" t="n"/>
      <c r="T24" s="756" t="n"/>
      <c r="U24" s="756" t="n"/>
      <c r="V24" s="84" t="n"/>
      <c r="W24" s="84" t="n"/>
      <c r="X24" s="31" t="inlineStr">
        <is>
          <t>EAPC</t>
        </is>
      </c>
      <c r="Y24" s="756" t="n"/>
      <c r="Z24" s="31" t="inlineStr">
        <is>
          <t>EAPC</t>
        </is>
      </c>
      <c r="AA24" s="756" t="n"/>
      <c r="AB24" s="756" t="n"/>
      <c r="AC24" s="84" t="n"/>
      <c r="AD24" s="84" t="n"/>
      <c r="AE24" s="756" t="n"/>
      <c r="AF24" s="31" t="n"/>
      <c r="AG24" s="756" t="n"/>
      <c r="AH24" s="756" t="n"/>
      <c r="AI24" s="756" t="n"/>
      <c r="AJ24" s="4" t="n"/>
      <c r="AK24" s="713" t="inlineStr">
        <is>
          <t>EAPC - CLARAVALLS</t>
        </is>
      </c>
      <c r="AO24" s="668" t="n"/>
      <c r="AR24" s="668" t="n"/>
      <c r="AT24" s="668" t="n"/>
    </row>
    <row r="25" ht="19.5" customFormat="1" customHeight="1" s="4" thickBot="1">
      <c r="A25" s="788" t="inlineStr">
        <is>
          <t>ABRIL</t>
        </is>
      </c>
      <c r="B25" s="156" t="n"/>
      <c r="C25" s="156" t="n"/>
      <c r="D25" s="156" t="n"/>
      <c r="E25" s="156" t="n"/>
      <c r="F25" s="156" t="n"/>
      <c r="G25" s="156" t="n"/>
      <c r="H25" s="156" t="n"/>
      <c r="I25" s="156" t="n"/>
      <c r="J25" s="156" t="n"/>
      <c r="K25" s="156" t="n"/>
      <c r="L25" s="156" t="n"/>
      <c r="M25" s="156" t="n"/>
      <c r="N25" s="156" t="n"/>
      <c r="O25" s="156" t="n"/>
      <c r="P25" s="156" t="n"/>
      <c r="Q25" s="156" t="n"/>
      <c r="R25" s="156" t="n"/>
      <c r="S25" s="156" t="n"/>
      <c r="T25" s="156" t="n"/>
      <c r="U25" s="156" t="n"/>
      <c r="V25" s="156" t="n"/>
      <c r="W25" s="156" t="n"/>
      <c r="X25" s="156" t="n"/>
      <c r="Y25" s="156" t="n"/>
      <c r="Z25" s="156" t="n"/>
      <c r="AA25" s="156" t="n"/>
      <c r="AB25" s="156" t="n"/>
      <c r="AC25" s="156" t="n"/>
      <c r="AD25" s="156" t="n"/>
      <c r="AE25" s="156" t="n"/>
      <c r="AF25" s="156" t="n"/>
      <c r="AG25" s="156" t="n"/>
      <c r="AH25" s="156" t="n"/>
      <c r="AI25" s="142" t="n"/>
      <c r="AJ25" s="524" t="inlineStr">
        <is>
          <t>18 DIES</t>
        </is>
      </c>
      <c r="AK25" s="709" t="n"/>
    </row>
    <row r="26" ht="65.25" customFormat="1" customHeight="1" s="5">
      <c r="A26" s="7" t="inlineStr">
        <is>
          <t>AULA</t>
        </is>
      </c>
      <c r="B26" s="8" t="inlineStr">
        <is>
          <t>INICI</t>
        </is>
      </c>
      <c r="C26" s="8" t="inlineStr">
        <is>
          <t>FINAL</t>
        </is>
      </c>
      <c r="D26" s="8" t="inlineStr">
        <is>
          <t>AULA</t>
        </is>
      </c>
      <c r="E26" s="9" t="n">
        <v>45017</v>
      </c>
      <c r="F26" s="9" t="n">
        <v>45018</v>
      </c>
      <c r="G26" s="9" t="n">
        <v>45019</v>
      </c>
      <c r="H26" s="9" t="n">
        <v>45020</v>
      </c>
      <c r="I26" s="9" t="n">
        <v>45021</v>
      </c>
      <c r="J26" s="9" t="n">
        <v>45022</v>
      </c>
      <c r="K26" s="9" t="n">
        <v>45023</v>
      </c>
      <c r="L26" s="9" t="n">
        <v>45024</v>
      </c>
      <c r="M26" s="9" t="n">
        <v>45025</v>
      </c>
      <c r="N26" s="9" t="n">
        <v>45026</v>
      </c>
      <c r="O26" s="9" t="n">
        <v>45027</v>
      </c>
      <c r="P26" s="9" t="n">
        <v>45028</v>
      </c>
      <c r="Q26" s="9" t="n">
        <v>45029</v>
      </c>
      <c r="R26" s="9" t="n">
        <v>45030</v>
      </c>
      <c r="S26" s="9" t="n">
        <v>45031</v>
      </c>
      <c r="T26" s="9" t="n">
        <v>45032</v>
      </c>
      <c r="U26" s="9" t="n">
        <v>45033</v>
      </c>
      <c r="V26" s="9" t="n">
        <v>45034</v>
      </c>
      <c r="W26" s="9" t="n">
        <v>45035</v>
      </c>
      <c r="X26" s="9" t="n">
        <v>45036</v>
      </c>
      <c r="Y26" s="9" t="n">
        <v>45037</v>
      </c>
      <c r="Z26" s="9" t="n">
        <v>45038</v>
      </c>
      <c r="AA26" s="9" t="n">
        <v>45039</v>
      </c>
      <c r="AB26" s="9" t="n">
        <v>45040</v>
      </c>
      <c r="AC26" s="9" t="n">
        <v>45041</v>
      </c>
      <c r="AD26" s="9" t="n">
        <v>45042</v>
      </c>
      <c r="AE26" s="9" t="n">
        <v>45043</v>
      </c>
      <c r="AF26" s="9" t="n">
        <v>45044</v>
      </c>
      <c r="AG26" s="9" t="n">
        <v>45045</v>
      </c>
      <c r="AH26" s="9" t="n">
        <v>45046</v>
      </c>
      <c r="AI26" s="9" t="n"/>
      <c r="AJ26" s="4" t="n"/>
      <c r="AK26" s="705" t="n"/>
    </row>
    <row r="27" ht="15.75" customHeight="1" s="757">
      <c r="A27" s="10" t="inlineStr">
        <is>
          <t>GOOGLE MATINS</t>
        </is>
      </c>
      <c r="B27" s="11" t="n"/>
      <c r="C27" s="11" t="n"/>
      <c r="D27" s="12" t="n"/>
      <c r="E27" s="84" t="n"/>
      <c r="F27" s="84" t="n"/>
      <c r="G27" s="530" t="inlineStr">
        <is>
          <t>R17</t>
        </is>
      </c>
      <c r="H27" s="530" t="inlineStr">
        <is>
          <t>R17</t>
        </is>
      </c>
      <c r="I27" s="756" t="n"/>
      <c r="J27" s="756" t="n"/>
      <c r="K27" s="26" t="n"/>
      <c r="L27" s="84" t="n"/>
      <c r="M27" s="84" t="n"/>
      <c r="N27" s="26" t="n"/>
      <c r="O27" s="756" t="n"/>
      <c r="P27" s="756" t="n"/>
      <c r="Q27" s="33" t="n"/>
      <c r="R27" s="756" t="n"/>
      <c r="S27" s="84" t="n"/>
      <c r="T27" s="84" t="n"/>
      <c r="U27" s="34" t="n">
        <v>16</v>
      </c>
      <c r="V27" s="34" t="n">
        <v>16</v>
      </c>
      <c r="W27" s="34" t="n">
        <v>16</v>
      </c>
      <c r="X27" s="34" t="n">
        <v>16</v>
      </c>
      <c r="Y27" s="34" t="n">
        <v>16</v>
      </c>
      <c r="Z27" s="84" t="n"/>
      <c r="AA27" s="84" t="n"/>
      <c r="AB27" s="34" t="n">
        <v>16</v>
      </c>
      <c r="AC27" s="141" t="n"/>
      <c r="AD27" s="141" t="n"/>
      <c r="AE27" s="141" t="n"/>
      <c r="AF27" s="141" t="n"/>
      <c r="AG27" s="84" t="n"/>
      <c r="AH27" s="84" t="n"/>
      <c r="AI27" s="756" t="n"/>
      <c r="AJ27" s="4" t="n">
        <v>4</v>
      </c>
      <c r="AK27" s="59" t="n"/>
      <c r="AL27" s="704" t="inlineStr">
        <is>
          <t>ADGG0208</t>
        </is>
      </c>
      <c r="AP27" s="536" t="inlineStr">
        <is>
          <t>CC CP2</t>
        </is>
      </c>
      <c r="AQ27" s="116" t="n"/>
      <c r="AR27" s="775" t="inlineStr">
        <is>
          <t>10 a 13</t>
        </is>
      </c>
    </row>
    <row r="28" ht="16.5" customHeight="1" s="757" thickBot="1">
      <c r="A28" s="14" t="inlineStr">
        <is>
          <t>FIREFOX MATINS</t>
        </is>
      </c>
      <c r="B28" s="15" t="n"/>
      <c r="C28" s="15" t="n"/>
      <c r="D28" s="15" t="n"/>
      <c r="E28" s="86" t="n"/>
      <c r="F28" s="86" t="n"/>
      <c r="H28" s="537" t="inlineStr">
        <is>
          <t>M13</t>
        </is>
      </c>
      <c r="I28" s="537" t="inlineStr">
        <is>
          <t>M13</t>
        </is>
      </c>
      <c r="J28" s="537" t="inlineStr">
        <is>
          <t>M13</t>
        </is>
      </c>
      <c r="K28" s="27" t="n"/>
      <c r="L28" s="86" t="n"/>
      <c r="M28" s="86" t="n"/>
      <c r="N28" s="27" t="n"/>
      <c r="O28" s="537" t="inlineStr">
        <is>
          <t>M13</t>
        </is>
      </c>
      <c r="P28" s="537" t="inlineStr">
        <is>
          <t>M13</t>
        </is>
      </c>
      <c r="Q28" s="537" t="inlineStr">
        <is>
          <t>M13</t>
        </is>
      </c>
      <c r="R28" s="537" t="inlineStr">
        <is>
          <t>M13</t>
        </is>
      </c>
      <c r="S28" s="86" t="n"/>
      <c r="T28" s="86" t="n"/>
      <c r="U28" s="537" t="inlineStr">
        <is>
          <t>R15</t>
        </is>
      </c>
      <c r="V28" s="537" t="inlineStr">
        <is>
          <t>R15</t>
        </is>
      </c>
      <c r="W28" s="778" t="n"/>
      <c r="X28" s="537" t="inlineStr">
        <is>
          <t>R15</t>
        </is>
      </c>
      <c r="Y28" s="778" t="n"/>
      <c r="Z28" s="86" t="n"/>
      <c r="AA28" s="86" t="n"/>
      <c r="AB28" s="537" t="inlineStr">
        <is>
          <t>R15</t>
        </is>
      </c>
      <c r="AC28" s="778" t="n"/>
      <c r="AD28" s="537" t="inlineStr">
        <is>
          <t>R15</t>
        </is>
      </c>
      <c r="AE28" s="537" t="inlineStr">
        <is>
          <t>R15</t>
        </is>
      </c>
      <c r="AF28" s="537" t="inlineStr">
        <is>
          <t>R15</t>
        </is>
      </c>
      <c r="AG28" s="86" t="n"/>
      <c r="AH28" s="86" t="n"/>
      <c r="AI28" s="778" t="n"/>
      <c r="AJ28" s="4" t="n"/>
      <c r="AP28" s="2" t="n"/>
      <c r="AQ28" s="2" t="n"/>
      <c r="AR28" s="2" t="n"/>
      <c r="AS28" s="2" t="n"/>
    </row>
    <row r="29" ht="16.5" customHeight="1" s="757" thickTop="1">
      <c r="A29" s="17" t="inlineStr">
        <is>
          <t>GOOGLE TARDA</t>
        </is>
      </c>
      <c r="B29" s="18" t="n"/>
      <c r="C29" s="18" t="n"/>
      <c r="D29" s="18" t="n"/>
      <c r="E29" s="88" t="n"/>
      <c r="F29" s="88" t="n"/>
      <c r="G29" s="139" t="inlineStr">
        <is>
          <t>P</t>
        </is>
      </c>
      <c r="H29" s="139" t="inlineStr">
        <is>
          <t>P</t>
        </is>
      </c>
      <c r="I29" s="139" t="inlineStr">
        <is>
          <t>P</t>
        </is>
      </c>
      <c r="J29" s="69" t="inlineStr">
        <is>
          <t>P</t>
        </is>
      </c>
      <c r="K29" s="26" t="n"/>
      <c r="L29" s="84" t="n"/>
      <c r="M29" s="88" t="n"/>
      <c r="N29" s="28" t="n"/>
      <c r="O29" s="69" t="inlineStr">
        <is>
          <t>P</t>
        </is>
      </c>
      <c r="P29" s="69" t="inlineStr">
        <is>
          <t>P</t>
        </is>
      </c>
      <c r="Q29" s="69" t="inlineStr">
        <is>
          <t>P</t>
        </is>
      </c>
      <c r="R29" s="518" t="inlineStr">
        <is>
          <t>M</t>
        </is>
      </c>
      <c r="S29" s="88" t="n"/>
      <c r="T29" s="88" t="n"/>
      <c r="U29" s="538" t="inlineStr">
        <is>
          <t>NAT</t>
        </is>
      </c>
      <c r="V29" s="538" t="inlineStr">
        <is>
          <t>NAT</t>
        </is>
      </c>
      <c r="W29" s="518" t="inlineStr">
        <is>
          <t>NAT</t>
        </is>
      </c>
      <c r="X29" s="518" t="inlineStr">
        <is>
          <t>NAT</t>
        </is>
      </c>
      <c r="Y29" s="518" t="inlineStr">
        <is>
          <t>NAT</t>
        </is>
      </c>
      <c r="Z29" s="84" t="n"/>
      <c r="AA29" s="88" t="n"/>
      <c r="AB29" s="538" t="inlineStr">
        <is>
          <t>M</t>
        </is>
      </c>
      <c r="AC29" s="34" t="n">
        <v>16</v>
      </c>
      <c r="AD29" s="755" t="n"/>
      <c r="AE29" s="755" t="n"/>
      <c r="AF29" s="755" t="n"/>
      <c r="AG29" s="88" t="n"/>
      <c r="AH29" s="88" t="n"/>
      <c r="AI29" s="755" t="n"/>
      <c r="AJ29" s="140" t="n">
        <v>13</v>
      </c>
      <c r="AL29" s="526" t="inlineStr">
        <is>
          <t>ADGG0408</t>
        </is>
      </c>
      <c r="AM29" s="74" t="n"/>
      <c r="AN29" s="74" t="n"/>
      <c r="AO29" s="60" t="n"/>
      <c r="AP29" s="60" t="n"/>
      <c r="AQ29" s="60" t="n"/>
      <c r="AR29" s="60" t="n"/>
      <c r="AS29" s="712" t="n"/>
      <c r="AV29" s="712" t="n"/>
    </row>
    <row r="30" ht="15.75" customHeight="1" s="757">
      <c r="A30" s="10" t="inlineStr">
        <is>
          <t>FIREFOX TARDA</t>
        </is>
      </c>
      <c r="B30" s="11" t="n"/>
      <c r="C30" s="11" t="n"/>
      <c r="D30" s="12" t="n"/>
      <c r="E30" s="84" t="n"/>
      <c r="F30" s="84" t="n"/>
      <c r="G30" s="97" t="n">
        <v>10</v>
      </c>
      <c r="H30" s="97" t="n">
        <v>10</v>
      </c>
      <c r="J30" s="756" t="n"/>
      <c r="K30" s="26" t="n"/>
      <c r="L30" s="84" t="n"/>
      <c r="M30" s="84" t="n"/>
      <c r="N30" s="26" t="n"/>
      <c r="O30" s="80" t="n">
        <v>14</v>
      </c>
      <c r="P30" s="80" t="n">
        <v>14</v>
      </c>
      <c r="Q30" s="34" t="n">
        <v>14</v>
      </c>
      <c r="R30" s="539" t="inlineStr">
        <is>
          <t>P14</t>
        </is>
      </c>
      <c r="S30" s="98" t="n"/>
      <c r="T30" s="98" t="n"/>
      <c r="U30" s="80" t="n">
        <v>14</v>
      </c>
      <c r="V30" s="80" t="n">
        <v>14</v>
      </c>
      <c r="W30" s="80" t="n">
        <v>14</v>
      </c>
      <c r="X30" s="80" t="n">
        <v>14</v>
      </c>
      <c r="Y30" s="80" t="n">
        <v>14</v>
      </c>
      <c r="Z30" s="88" t="n"/>
      <c r="AA30" s="84" t="n"/>
      <c r="AB30" s="755" t="n"/>
      <c r="AC30" s="756" t="n"/>
      <c r="AD30" s="755" t="n"/>
      <c r="AE30" s="49" t="n"/>
      <c r="AF30" s="755" t="n"/>
      <c r="AG30" s="84" t="n"/>
      <c r="AH30" s="84" t="n"/>
      <c r="AI30" s="756" t="n"/>
      <c r="AJ30" s="4" t="n"/>
      <c r="AK30" s="59" t="n"/>
      <c r="AP30" s="775" t="n"/>
      <c r="AS30" s="707" t="inlineStr">
        <is>
          <t>16h-20h VAM</t>
        </is>
      </c>
    </row>
    <row r="31" ht="15.75" customHeight="1" s="757">
      <c r="A31" s="10" t="inlineStr">
        <is>
          <t>TARRAGONA mati</t>
        </is>
      </c>
      <c r="B31" s="11" t="n"/>
      <c r="C31" s="11" t="n"/>
      <c r="D31" s="12" t="n"/>
      <c r="E31" s="84" t="n"/>
      <c r="F31" s="84" t="n"/>
      <c r="G31" s="756" t="n"/>
      <c r="H31" s="756" t="n"/>
      <c r="I31" s="756" t="n"/>
      <c r="J31" s="756" t="n"/>
      <c r="K31" s="26" t="n"/>
      <c r="L31" s="84" t="n"/>
      <c r="M31" s="84" t="n"/>
      <c r="N31" s="26" t="n"/>
      <c r="O31" s="756" t="n"/>
      <c r="P31" s="21" t="n"/>
      <c r="Q31" s="756" t="n"/>
      <c r="R31" s="21" t="n"/>
      <c r="S31" s="84" t="n"/>
      <c r="T31" s="84" t="n"/>
      <c r="U31" s="756" t="n"/>
      <c r="V31" s="756" t="n"/>
      <c r="W31" s="21" t="n"/>
      <c r="X31" s="756" t="n"/>
      <c r="Y31" s="21" t="n"/>
      <c r="Z31" s="84" t="n"/>
      <c r="AA31" s="84" t="n"/>
      <c r="AB31" s="756" t="n"/>
      <c r="AC31" s="21" t="n"/>
      <c r="AD31" s="756" t="n"/>
      <c r="AE31" s="756" t="n"/>
      <c r="AF31" s="756" t="n"/>
      <c r="AG31" s="84" t="n"/>
      <c r="AH31" s="84" t="n"/>
      <c r="AI31" s="756" t="n"/>
      <c r="AJ31" s="4" t="n"/>
      <c r="AK31" s="710" t="inlineStr">
        <is>
          <t>EAPC - nivell 2</t>
        </is>
      </c>
      <c r="AQ31" s="668" t="n"/>
    </row>
    <row r="32" ht="19.5" customFormat="1" customHeight="1" s="4" thickBot="1">
      <c r="A32" s="788" t="inlineStr">
        <is>
          <t>MAYO</t>
        </is>
      </c>
      <c r="B32" s="156" t="n"/>
      <c r="C32" s="156" t="n"/>
      <c r="D32" s="156" t="n"/>
      <c r="E32" s="156" t="n"/>
      <c r="F32" s="156" t="n"/>
      <c r="G32" s="156" t="n"/>
      <c r="H32" s="156" t="n"/>
      <c r="I32" s="156" t="n"/>
      <c r="J32" s="156" t="n"/>
      <c r="K32" s="156" t="n"/>
      <c r="L32" s="156" t="n"/>
      <c r="M32" s="156" t="n"/>
      <c r="N32" s="156" t="n"/>
      <c r="O32" s="156" t="n"/>
      <c r="P32" s="156" t="n"/>
      <c r="Q32" s="156" t="n"/>
      <c r="R32" s="156" t="n"/>
      <c r="S32" s="156" t="n"/>
      <c r="T32" s="156" t="n"/>
      <c r="U32" s="156" t="n"/>
      <c r="V32" s="156" t="n"/>
      <c r="W32" s="156" t="n"/>
      <c r="X32" s="156" t="n"/>
      <c r="Y32" s="156" t="n"/>
      <c r="Z32" s="156" t="n"/>
      <c r="AA32" s="156" t="n"/>
      <c r="AB32" s="156" t="n"/>
      <c r="AC32" s="156" t="n"/>
      <c r="AD32" s="156" t="n"/>
      <c r="AE32" s="156" t="n"/>
      <c r="AF32" s="156" t="n"/>
      <c r="AG32" s="156" t="n"/>
      <c r="AH32" s="156" t="n"/>
      <c r="AI32" s="142" t="n"/>
      <c r="AJ32" s="524" t="n">
        <v>22</v>
      </c>
      <c r="AK32" s="709" t="n"/>
    </row>
    <row r="33" ht="64.5" customHeight="1" s="757">
      <c r="A33" s="7" t="inlineStr">
        <is>
          <t>AULA</t>
        </is>
      </c>
      <c r="B33" s="8" t="inlineStr">
        <is>
          <t>INICI</t>
        </is>
      </c>
      <c r="C33" s="8" t="inlineStr">
        <is>
          <t>FINAL</t>
        </is>
      </c>
      <c r="D33" s="8" t="inlineStr">
        <is>
          <t>AULA</t>
        </is>
      </c>
      <c r="E33" s="9" t="n">
        <v>45047</v>
      </c>
      <c r="F33" s="9" t="n">
        <v>45048</v>
      </c>
      <c r="G33" s="9" t="n">
        <v>45049</v>
      </c>
      <c r="H33" s="9" t="n">
        <v>45050</v>
      </c>
      <c r="I33" s="9" t="n">
        <v>45051</v>
      </c>
      <c r="J33" s="9" t="n">
        <v>45052</v>
      </c>
      <c r="K33" s="9" t="n">
        <v>45053</v>
      </c>
      <c r="L33" s="9" t="n">
        <v>45054</v>
      </c>
      <c r="M33" s="9" t="n">
        <v>45055</v>
      </c>
      <c r="N33" s="9" t="n">
        <v>45056</v>
      </c>
      <c r="O33" s="9" t="n">
        <v>45057</v>
      </c>
      <c r="P33" s="9" t="n">
        <v>45058</v>
      </c>
      <c r="Q33" s="187" t="n">
        <v>45059</v>
      </c>
      <c r="R33" s="191" t="n">
        <v>45060</v>
      </c>
      <c r="S33" s="190" t="n">
        <v>45061</v>
      </c>
      <c r="T33" s="188" t="n">
        <v>45062</v>
      </c>
      <c r="U33" s="9" t="n">
        <v>45063</v>
      </c>
      <c r="V33" s="9" t="n">
        <v>45064</v>
      </c>
      <c r="W33" s="9" t="n">
        <v>45065</v>
      </c>
      <c r="X33" s="9" t="n">
        <v>45066</v>
      </c>
      <c r="Y33" s="9" t="n">
        <v>45067</v>
      </c>
      <c r="Z33" s="9" t="n">
        <v>45068</v>
      </c>
      <c r="AA33" s="9" t="n">
        <v>45069</v>
      </c>
      <c r="AB33" s="9" t="n">
        <v>45070</v>
      </c>
      <c r="AC33" s="9" t="n">
        <v>45071</v>
      </c>
      <c r="AD33" s="9" t="n">
        <v>45072</v>
      </c>
      <c r="AE33" s="9" t="n">
        <v>45073</v>
      </c>
      <c r="AF33" s="9" t="n">
        <v>45074</v>
      </c>
      <c r="AG33" s="9" t="n">
        <v>45075</v>
      </c>
      <c r="AH33" s="9" t="n">
        <v>45076</v>
      </c>
      <c r="AI33" s="9" t="n">
        <v>45077</v>
      </c>
      <c r="AJ33" s="4" t="n"/>
    </row>
    <row r="34" ht="15.75" customHeight="1" s="757">
      <c r="A34" s="10" t="inlineStr">
        <is>
          <t>GOOGLE MATINS</t>
        </is>
      </c>
      <c r="B34" s="11" t="n"/>
      <c r="C34" s="11" t="n"/>
      <c r="D34" s="12" t="n"/>
      <c r="E34" s="26" t="n"/>
      <c r="F34" s="141" t="n"/>
      <c r="G34" s="141" t="n"/>
      <c r="H34" s="141" t="n"/>
      <c r="I34" s="141" t="n"/>
      <c r="J34" s="84" t="n"/>
      <c r="K34" s="84" t="n"/>
      <c r="L34" s="141" t="n"/>
      <c r="M34" s="141" t="n"/>
      <c r="N34" s="141" t="n"/>
      <c r="O34" s="141" t="n"/>
      <c r="P34" s="141" t="n"/>
      <c r="Q34" s="180" t="n"/>
      <c r="R34" s="200" t="n"/>
      <c r="S34" s="172" t="n"/>
      <c r="T34" s="201" t="n"/>
      <c r="U34" s="202" t="n"/>
      <c r="V34" s="203" t="n"/>
      <c r="W34" s="203" t="n"/>
      <c r="X34" s="84" t="n"/>
      <c r="Y34" s="84" t="n"/>
      <c r="Z34" s="203" t="n"/>
      <c r="AA34" s="203" t="n"/>
      <c r="AB34" s="203" t="n"/>
      <c r="AC34" s="203" t="n"/>
      <c r="AD34" s="204" t="n"/>
      <c r="AE34" s="184" t="n"/>
      <c r="AF34" s="84" t="n"/>
      <c r="AG34" s="205" t="n"/>
      <c r="AH34" s="205" t="n"/>
      <c r="AI34" s="205" t="n"/>
      <c r="AJ34" s="4" t="n">
        <v>22</v>
      </c>
      <c r="AK34" s="59" t="n"/>
      <c r="AL34" s="704" t="inlineStr">
        <is>
          <t>ADGG0208</t>
        </is>
      </c>
    </row>
    <row r="35" ht="15.75" customHeight="1" s="757">
      <c r="A35" s="14" t="inlineStr">
        <is>
          <t>FIREFOX MATINS</t>
        </is>
      </c>
      <c r="B35" s="15" t="n"/>
      <c r="C35" s="15" t="n"/>
      <c r="D35" s="15" t="n"/>
      <c r="E35" s="27" t="n"/>
      <c r="F35" s="778" t="n"/>
      <c r="G35" s="778" t="n"/>
      <c r="H35" s="778" t="n"/>
      <c r="I35" s="778" t="n"/>
      <c r="J35" s="86" t="n"/>
      <c r="K35" s="86" t="n"/>
      <c r="L35" s="778" t="n"/>
      <c r="M35" s="778" t="n"/>
      <c r="N35" s="778" t="n"/>
      <c r="O35" s="778" t="n"/>
      <c r="P35" s="778" t="n"/>
      <c r="Q35" s="86" t="n"/>
      <c r="R35" s="189" t="n"/>
      <c r="S35" s="173" t="n"/>
      <c r="T35" s="173" t="n"/>
      <c r="U35" s="778" t="n"/>
      <c r="V35" s="778" t="n"/>
      <c r="W35" s="199" t="n"/>
      <c r="X35" s="86" t="n"/>
      <c r="Y35" s="86" t="n"/>
      <c r="Z35" s="778" t="n"/>
      <c r="AA35" s="778" t="n"/>
      <c r="AB35" s="199" t="n"/>
      <c r="AC35" s="778" t="n"/>
      <c r="AD35" s="177" t="n"/>
      <c r="AE35" s="176" t="n"/>
      <c r="AF35" s="176" t="n"/>
      <c r="AG35" s="176" t="n"/>
      <c r="AH35" s="199" t="n"/>
      <c r="AI35" s="199" t="n"/>
      <c r="AJ35" s="4" t="n"/>
      <c r="AO35" s="51" t="inlineStr">
        <is>
          <t xml:space="preserve">VAM </t>
        </is>
      </c>
    </row>
    <row r="36" ht="15.75" customHeight="1" s="757">
      <c r="A36" s="17" t="inlineStr">
        <is>
          <t>GOOGLE TARDA</t>
        </is>
      </c>
      <c r="B36" s="18" t="n"/>
      <c r="C36" s="18" t="n"/>
      <c r="D36" s="18" t="n"/>
      <c r="E36" s="28" t="n"/>
      <c r="F36" s="85" t="n"/>
      <c r="G36" s="85" t="n"/>
      <c r="H36" s="85" t="n"/>
      <c r="I36" s="85" t="n"/>
      <c r="J36" s="84" t="n"/>
      <c r="K36" s="84" t="n"/>
      <c r="L36" s="782" t="n"/>
      <c r="M36" s="782" t="n"/>
      <c r="N36" s="782" t="n"/>
      <c r="O36" s="782" t="n"/>
      <c r="P36" s="756" t="n"/>
      <c r="Q36" s="84" t="n"/>
      <c r="R36" s="84" t="n"/>
      <c r="S36" s="181" t="n">
        <v>12</v>
      </c>
      <c r="T36" s="181" t="n">
        <v>12</v>
      </c>
      <c r="U36" s="181" t="n">
        <v>12</v>
      </c>
      <c r="V36" s="181" t="n">
        <v>12</v>
      </c>
      <c r="W36" s="756" t="n"/>
      <c r="X36" s="84" t="n"/>
      <c r="Y36" s="84" t="n"/>
      <c r="Z36" s="22" t="n"/>
      <c r="AA36" s="756" t="n"/>
      <c r="AB36" s="756" t="n"/>
      <c r="AC36" s="756" t="n"/>
      <c r="AD36" s="178" t="n"/>
      <c r="AE36" s="84" t="n"/>
      <c r="AF36" s="84" t="n"/>
      <c r="AG36" s="756" t="n"/>
      <c r="AH36" s="756" t="n"/>
      <c r="AI36" s="756" t="n"/>
      <c r="AJ36" s="4" t="n"/>
      <c r="AL36" s="198" t="n"/>
      <c r="AM36" s="183" t="n"/>
      <c r="AN36" s="183" t="n"/>
      <c r="AO36" s="183" t="n"/>
      <c r="AP36" s="183" t="n"/>
      <c r="AQ36" s="183" t="n"/>
      <c r="AR36" s="183" t="n"/>
      <c r="AS36" s="183" t="n"/>
      <c r="AT36" s="183" t="n"/>
      <c r="AU36" s="183" t="n"/>
      <c r="AV36" s="183" t="n"/>
    </row>
    <row r="37" ht="15.75" customHeight="1" s="757">
      <c r="A37" s="10" t="inlineStr">
        <is>
          <t>FIREFOX TARDA</t>
        </is>
      </c>
      <c r="B37" s="11" t="n"/>
      <c r="C37" s="11" t="n"/>
      <c r="D37" s="12" t="n"/>
      <c r="E37" s="26" t="n"/>
      <c r="F37" s="756" t="n"/>
      <c r="G37" s="756" t="n"/>
      <c r="H37" s="756" t="n"/>
      <c r="I37" s="756" t="n"/>
      <c r="J37" s="84" t="n"/>
      <c r="K37" s="180" t="n"/>
      <c r="L37" s="193" t="n"/>
      <c r="M37" s="193" t="n"/>
      <c r="N37" s="193" t="n"/>
      <c r="O37" s="193" t="n"/>
      <c r="P37" s="142" t="n"/>
      <c r="Q37" s="84" t="n"/>
      <c r="R37" s="84" t="n"/>
      <c r="S37" s="142" t="n"/>
      <c r="T37" s="142" t="n"/>
      <c r="U37" s="142" t="n"/>
      <c r="V37" s="142" t="n"/>
      <c r="W37" s="756" t="n"/>
      <c r="X37" s="84" t="n"/>
      <c r="Y37" s="84" t="n"/>
      <c r="Z37" s="756" t="n"/>
      <c r="AA37" s="756" t="n"/>
      <c r="AB37" s="756" t="n"/>
      <c r="AC37" s="756" t="n"/>
      <c r="AD37" s="178" t="n"/>
      <c r="AE37" s="84" t="n"/>
      <c r="AF37" s="84" t="n"/>
      <c r="AG37" s="756" t="n"/>
      <c r="AH37" s="756" t="n"/>
      <c r="AI37" s="756" t="n"/>
      <c r="AJ37" s="4" t="n"/>
      <c r="AL37" s="61" t="inlineStr">
        <is>
          <t xml:space="preserve">12ª acTIC </t>
        </is>
      </c>
      <c r="AM37" s="61" t="n"/>
      <c r="AN37" s="61" t="n"/>
      <c r="AU37" s="668" t="n"/>
    </row>
    <row r="38" ht="15.75" customHeight="1" s="757">
      <c r="A38" s="10" t="inlineStr">
        <is>
          <t>TARRAGONA mati</t>
        </is>
      </c>
      <c r="B38" s="11" t="n"/>
      <c r="C38" s="11" t="n"/>
      <c r="D38" s="12" t="n"/>
      <c r="E38" s="26" t="n"/>
      <c r="F38" s="756" t="n"/>
      <c r="G38" s="756" t="n"/>
      <c r="H38" s="756" t="n"/>
      <c r="I38" s="756" t="n"/>
      <c r="J38" s="84" t="n"/>
      <c r="K38" s="84" t="n"/>
      <c r="L38" s="755" t="n"/>
      <c r="M38" s="755" t="n"/>
      <c r="N38" s="755" t="n"/>
      <c r="O38" s="755" t="n"/>
      <c r="P38" s="756" t="n"/>
      <c r="Q38" s="84" t="n"/>
      <c r="R38" s="84" t="n"/>
      <c r="S38" s="21" t="n"/>
      <c r="T38" s="756" t="n"/>
      <c r="U38" s="21" t="n"/>
      <c r="V38" s="756" t="n"/>
      <c r="W38" s="756" t="n"/>
      <c r="X38" s="84" t="n"/>
      <c r="Y38" s="84" t="n"/>
      <c r="Z38" s="21" t="n"/>
      <c r="AA38" s="756" t="n"/>
      <c r="AB38" s="756" t="n"/>
      <c r="AC38" s="21" t="n"/>
      <c r="AD38" s="179" t="n"/>
      <c r="AE38" s="84" t="n"/>
      <c r="AF38" s="84" t="n"/>
      <c r="AG38" s="756" t="n"/>
      <c r="AH38" s="756" t="n"/>
      <c r="AI38" s="756" t="n"/>
      <c r="AJ38" s="4" t="n"/>
      <c r="AK38" s="710" t="inlineStr">
        <is>
          <t>EAPC</t>
        </is>
      </c>
      <c r="AU38" s="668" t="n"/>
    </row>
    <row r="39" ht="15.75" customHeight="1" s="757">
      <c r="A39" s="194" t="inlineStr">
        <is>
          <t>TARRAGONA tarda</t>
        </is>
      </c>
      <c r="B39" s="195" t="n"/>
      <c r="C39" s="195" t="n"/>
      <c r="D39" s="196" t="n"/>
      <c r="E39" s="26" t="n"/>
      <c r="F39" s="756" t="n"/>
      <c r="G39" s="756" t="n"/>
      <c r="H39" s="756" t="n"/>
      <c r="I39" s="756" t="n"/>
      <c r="J39" s="84" t="n"/>
      <c r="K39" s="84" t="n"/>
      <c r="L39" s="755" t="n"/>
      <c r="M39" s="755" t="n"/>
      <c r="N39" s="197" t="inlineStr">
        <is>
          <t>*16h</t>
        </is>
      </c>
      <c r="O39" s="755" t="n"/>
      <c r="P39" s="197" t="inlineStr">
        <is>
          <t>*16h</t>
        </is>
      </c>
      <c r="Q39" s="84" t="n"/>
      <c r="R39" s="84" t="n"/>
      <c r="S39" s="755" t="n"/>
      <c r="T39" s="755" t="n"/>
      <c r="U39" s="755" t="n"/>
      <c r="V39" s="755" t="n"/>
      <c r="W39" s="756" t="n"/>
      <c r="X39" s="84" t="n"/>
      <c r="Y39" s="84" t="n"/>
      <c r="Z39" s="755" t="n"/>
      <c r="AA39" s="755" t="n"/>
      <c r="AB39" s="756" t="n"/>
      <c r="AC39" s="755" t="n"/>
      <c r="AD39" s="755" t="n"/>
      <c r="AE39" s="84" t="n"/>
      <c r="AF39" s="84" t="n"/>
      <c r="AG39" s="756" t="n"/>
      <c r="AH39" s="756" t="n"/>
      <c r="AI39" s="756" t="n"/>
      <c r="AJ39" s="4" t="n"/>
      <c r="AK39" s="710" t="n"/>
      <c r="AU39" s="668" t="n"/>
    </row>
    <row r="40" ht="19.5" customHeight="1" s="757" thickBot="1">
      <c r="A40" s="788" t="inlineStr">
        <is>
          <t>JUNY</t>
        </is>
      </c>
      <c r="B40" s="156" t="n"/>
      <c r="C40" s="156" t="n"/>
      <c r="D40" s="156" t="n"/>
      <c r="E40" s="156" t="n"/>
      <c r="F40" s="156" t="n"/>
      <c r="G40" s="156" t="n"/>
      <c r="H40" s="156" t="n"/>
      <c r="I40" s="156" t="n"/>
      <c r="J40" s="156" t="n"/>
      <c r="K40" s="156" t="n"/>
      <c r="L40" s="156" t="n"/>
      <c r="M40" s="156" t="n"/>
      <c r="N40" s="156" t="n"/>
      <c r="O40" s="156" t="n"/>
      <c r="P40" s="156" t="n"/>
      <c r="Q40" s="156" t="n"/>
      <c r="R40" s="156" t="n"/>
      <c r="S40" s="156" t="n"/>
      <c r="T40" s="156" t="n"/>
      <c r="U40" s="156" t="n"/>
      <c r="V40" s="156" t="n"/>
      <c r="W40" s="156" t="n"/>
      <c r="X40" s="156" t="n"/>
      <c r="Y40" s="156" t="n"/>
      <c r="Z40" s="156" t="n"/>
      <c r="AA40" s="156" t="n"/>
      <c r="AB40" s="156" t="n"/>
      <c r="AC40" s="156" t="n"/>
      <c r="AD40" s="156" t="n"/>
      <c r="AE40" s="156" t="n"/>
      <c r="AF40" s="156" t="n"/>
      <c r="AG40" s="156" t="n"/>
      <c r="AH40" s="156" t="n"/>
      <c r="AI40" s="142" t="n"/>
      <c r="AJ40" s="524" t="inlineStr">
        <is>
          <t>22 DIES</t>
        </is>
      </c>
    </row>
    <row r="41" ht="66.75" customHeight="1" s="757">
      <c r="A41" s="7" t="inlineStr">
        <is>
          <t>AULA</t>
        </is>
      </c>
      <c r="B41" s="8" t="inlineStr">
        <is>
          <t>INICI</t>
        </is>
      </c>
      <c r="C41" s="8" t="inlineStr">
        <is>
          <t>FINAL</t>
        </is>
      </c>
      <c r="D41" s="8" t="inlineStr">
        <is>
          <t>AULA</t>
        </is>
      </c>
      <c r="E41" s="9" t="n">
        <v>45078</v>
      </c>
      <c r="F41" s="9" t="n">
        <v>45079</v>
      </c>
      <c r="G41" s="9" t="n">
        <v>45080</v>
      </c>
      <c r="H41" s="9" t="n">
        <v>45081</v>
      </c>
      <c r="I41" s="9" t="n">
        <v>45082</v>
      </c>
      <c r="J41" s="9" t="n">
        <v>45083</v>
      </c>
      <c r="K41" s="9" t="n">
        <v>45084</v>
      </c>
      <c r="L41" s="9" t="n">
        <v>45085</v>
      </c>
      <c r="M41" s="9" t="n">
        <v>45086</v>
      </c>
      <c r="N41" s="171" t="n">
        <v>45087</v>
      </c>
      <c r="O41" s="9" t="n">
        <v>45088</v>
      </c>
      <c r="P41" s="9" t="n">
        <v>45089</v>
      </c>
      <c r="Q41" s="9" t="n">
        <v>45090</v>
      </c>
      <c r="R41" s="9" t="n">
        <v>45091</v>
      </c>
      <c r="S41" s="9" t="n">
        <v>45092</v>
      </c>
      <c r="T41" s="9" t="n">
        <v>45093</v>
      </c>
      <c r="U41" s="9" t="n">
        <v>45094</v>
      </c>
      <c r="V41" s="9" t="n">
        <v>45095</v>
      </c>
      <c r="W41" s="9" t="n">
        <v>45096</v>
      </c>
      <c r="X41" s="9" t="n">
        <v>45097</v>
      </c>
      <c r="Y41" s="9" t="n">
        <v>45098</v>
      </c>
      <c r="Z41" s="9" t="n">
        <v>45099</v>
      </c>
      <c r="AA41" s="9" t="n">
        <v>45100</v>
      </c>
      <c r="AB41" s="9" t="n">
        <v>45101</v>
      </c>
      <c r="AC41" s="9" t="n">
        <v>45102</v>
      </c>
      <c r="AD41" s="9" t="n">
        <v>45103</v>
      </c>
      <c r="AE41" s="9" t="n">
        <v>45104</v>
      </c>
      <c r="AF41" s="9" t="n">
        <v>45105</v>
      </c>
      <c r="AG41" s="9" t="n">
        <v>45106</v>
      </c>
      <c r="AH41" s="9" t="n">
        <v>45107</v>
      </c>
      <c r="AI41" s="9" t="n"/>
      <c r="AJ41" s="4" t="n"/>
    </row>
    <row r="42" ht="15.75" customHeight="1" s="757">
      <c r="A42" s="10" t="inlineStr">
        <is>
          <t>GOOGLE MATINS</t>
        </is>
      </c>
      <c r="B42" s="11" t="n"/>
      <c r="C42" s="11" t="n"/>
      <c r="D42" s="12" t="n"/>
      <c r="E42" s="205" t="n"/>
      <c r="F42" s="206" t="n"/>
      <c r="G42" s="184" t="n"/>
      <c r="H42" s="84" t="n"/>
      <c r="I42" s="21" t="n"/>
      <c r="J42" s="21" t="n"/>
      <c r="K42" s="21" t="n"/>
      <c r="L42" s="21" t="n"/>
      <c r="M42" s="62" t="n"/>
      <c r="N42" s="192" t="n"/>
      <c r="O42" s="184" t="n"/>
      <c r="P42" s="21" t="n"/>
      <c r="Q42" s="21" t="n"/>
      <c r="R42" s="21" t="n"/>
      <c r="S42" s="21" t="n"/>
      <c r="T42" s="21" t="n"/>
      <c r="U42" s="84" t="n"/>
      <c r="V42" s="84" t="n"/>
      <c r="W42" s="21" t="n"/>
      <c r="X42" s="21" t="n"/>
      <c r="Y42" s="21" t="n"/>
      <c r="Z42" s="62" t="n"/>
      <c r="AA42" s="208" t="n"/>
      <c r="AB42" s="84" t="n"/>
      <c r="AC42" s="84" t="n"/>
      <c r="AD42" s="21" t="n"/>
      <c r="AE42" s="21" t="n"/>
      <c r="AF42" s="21" t="n"/>
      <c r="AG42" s="21" t="n"/>
      <c r="AH42" s="21" t="n"/>
      <c r="AI42" s="756" t="n"/>
      <c r="AJ42" s="4" t="n">
        <v>22</v>
      </c>
      <c r="AL42" s="704" t="inlineStr">
        <is>
          <t>ADGG0208</t>
        </is>
      </c>
      <c r="AU42" s="668" t="n"/>
    </row>
    <row r="43" ht="16.5" customHeight="1" s="757" thickBot="1">
      <c r="A43" s="14" t="inlineStr">
        <is>
          <t>FIREFOX MATINS</t>
        </is>
      </c>
      <c r="B43" s="15" t="n"/>
      <c r="C43" s="15" t="n"/>
      <c r="D43" s="15" t="n"/>
      <c r="E43" s="176" t="n"/>
      <c r="F43" s="199" t="n"/>
      <c r="G43" s="86" t="n"/>
      <c r="H43" s="86" t="n"/>
      <c r="I43" s="87" t="n"/>
      <c r="J43" s="87" t="n"/>
      <c r="K43" s="87" t="n"/>
      <c r="L43" s="87" t="n"/>
      <c r="M43" s="87" t="n"/>
      <c r="N43" s="189" t="n"/>
      <c r="O43" s="86" t="n"/>
      <c r="P43" s="778" t="n"/>
      <c r="Q43" s="778" t="n"/>
      <c r="R43" s="778" t="n"/>
      <c r="S43" s="778" t="n"/>
      <c r="T43" s="778" t="n"/>
      <c r="U43" s="86" t="n"/>
      <c r="V43" s="86" t="n"/>
      <c r="W43" s="778" t="n"/>
      <c r="X43" s="778" t="n"/>
      <c r="Y43" s="778" t="n"/>
      <c r="Z43" s="778" t="n"/>
      <c r="AA43" s="778" t="n"/>
      <c r="AB43" s="86" t="n"/>
      <c r="AC43" s="86" t="n"/>
      <c r="AD43" s="778" t="n"/>
      <c r="AE43" s="778" t="n"/>
      <c r="AF43" s="778" t="n"/>
      <c r="AG43" s="778" t="n"/>
      <c r="AH43" s="778" t="n"/>
      <c r="AI43" s="778" t="n"/>
      <c r="AJ43" s="4" t="n"/>
      <c r="AL43" s="183" t="n"/>
      <c r="AM43" s="51" t="inlineStr">
        <is>
          <t>VAM</t>
        </is>
      </c>
      <c r="AN43" s="183" t="n"/>
      <c r="AO43" s="183" t="n"/>
      <c r="AP43" s="183" t="n"/>
      <c r="AQ43" s="183" t="n"/>
      <c r="AR43" s="183" t="n"/>
      <c r="AS43" s="183" t="n"/>
      <c r="AT43" s="183" t="n"/>
      <c r="AU43" s="183" t="n"/>
      <c r="AV43" s="183" t="n"/>
    </row>
    <row r="44" ht="15.75" customHeight="1" s="757">
      <c r="A44" s="17" t="inlineStr">
        <is>
          <t>GOOGLE TARDA</t>
        </is>
      </c>
      <c r="B44" s="18" t="n"/>
      <c r="C44" s="18" t="n"/>
      <c r="D44" s="18" t="n"/>
      <c r="E44" s="756" t="n"/>
      <c r="F44" s="756" t="n"/>
      <c r="G44" s="84" t="n"/>
      <c r="H44" s="92" t="n"/>
      <c r="I44" s="40" t="n"/>
      <c r="J44" s="756" t="n"/>
      <c r="K44" s="181" t="n">
        <v>12</v>
      </c>
      <c r="L44" s="756" t="n"/>
      <c r="M44" s="756" t="n"/>
      <c r="N44" s="84" t="n"/>
      <c r="O44" s="84" t="n"/>
      <c r="P44" s="181" t="n">
        <v>12</v>
      </c>
      <c r="Q44" s="756" t="n"/>
      <c r="R44" s="756" t="n"/>
      <c r="S44" s="755" t="n"/>
      <c r="U44" s="88" t="n"/>
      <c r="V44" s="88" t="n"/>
      <c r="W44" s="755" t="n"/>
      <c r="X44" s="755" t="n"/>
      <c r="Y44" s="755" t="n"/>
      <c r="Z44" s="755" t="n"/>
      <c r="AA44" s="755" t="n"/>
      <c r="AB44" s="88" t="n"/>
      <c r="AC44" s="88" t="n"/>
      <c r="AD44" s="755" t="n"/>
      <c r="AE44" s="756" t="n"/>
      <c r="AF44" s="756" t="n"/>
      <c r="AG44" s="756" t="n"/>
      <c r="AH44" s="756" t="n"/>
      <c r="AI44" s="755" t="n"/>
      <c r="AJ44" s="4" t="n"/>
      <c r="AK44" s="709" t="n"/>
    </row>
    <row r="45" ht="16.5" customHeight="1" s="757" thickBot="1">
      <c r="A45" s="10" t="inlineStr">
        <is>
          <t>FIREFOX TARDA</t>
        </is>
      </c>
      <c r="B45" s="11" t="n"/>
      <c r="C45" s="11" t="n"/>
      <c r="D45" s="12" t="n"/>
      <c r="E45" s="756" t="n"/>
      <c r="F45" s="756" t="n"/>
      <c r="G45" s="84" t="n"/>
      <c r="H45" s="84" t="n"/>
      <c r="I45" s="199" t="n"/>
      <c r="J45" s="756" t="n"/>
      <c r="K45" s="756" t="n"/>
      <c r="L45" s="756" t="n"/>
      <c r="M45" s="756" t="n"/>
      <c r="N45" s="84" t="n"/>
      <c r="O45" s="84" t="n"/>
      <c r="P45" s="756" t="n"/>
      <c r="Q45" s="756" t="n"/>
      <c r="R45" s="756" t="n"/>
      <c r="S45" s="756" t="n"/>
      <c r="T45" s="756" t="n"/>
      <c r="U45" s="84" t="n"/>
      <c r="V45" s="84" t="n"/>
      <c r="W45" s="756" t="n"/>
      <c r="X45" s="756" t="n"/>
      <c r="Y45" s="756" t="n"/>
      <c r="Z45" s="756" t="n"/>
      <c r="AA45" s="756" t="n"/>
      <c r="AB45" s="84" t="n"/>
      <c r="AC45" s="84" t="n"/>
      <c r="AD45" s="756" t="n"/>
      <c r="AE45" s="756" t="n"/>
      <c r="AF45" s="756" t="n"/>
      <c r="AG45" s="756" t="n"/>
      <c r="AH45" s="756" t="n"/>
      <c r="AI45" s="756" t="n"/>
      <c r="AJ45" s="4" t="n"/>
      <c r="AV45" s="668" t="n"/>
    </row>
    <row r="46" ht="16.5" customHeight="1" s="757" thickTop="1">
      <c r="A46" s="10" t="inlineStr">
        <is>
          <t>TARRAGONA mati</t>
        </is>
      </c>
      <c r="B46" s="11" t="n"/>
      <c r="C46" s="11" t="n"/>
      <c r="D46" s="12" t="n"/>
      <c r="E46" s="756" t="n"/>
      <c r="F46" s="756" t="n"/>
      <c r="G46" s="84" t="n"/>
      <c r="H46" s="84" t="n"/>
      <c r="I46" s="21" t="n"/>
      <c r="J46" s="756" t="n"/>
      <c r="K46" s="756" t="n"/>
      <c r="L46" s="756" t="n"/>
      <c r="M46" s="756" t="n"/>
      <c r="N46" s="84" t="n"/>
      <c r="O46" s="84" t="n"/>
      <c r="P46" s="756" t="n"/>
      <c r="Q46" s="756" t="n"/>
      <c r="R46" s="756" t="n"/>
      <c r="S46" s="756" t="n"/>
      <c r="T46" s="756" t="n"/>
      <c r="U46" s="84" t="n"/>
      <c r="V46" s="84" t="n"/>
      <c r="W46" s="756" t="n"/>
      <c r="X46" s="756" t="n"/>
      <c r="Y46" s="756" t="n"/>
      <c r="Z46" s="756" t="n"/>
      <c r="AA46" s="755" t="n"/>
      <c r="AB46" s="84" t="n"/>
      <c r="AC46" s="84" t="n"/>
      <c r="AD46" s="756" t="n"/>
      <c r="AE46" s="756" t="n"/>
      <c r="AF46" s="756" t="n"/>
      <c r="AG46" s="756" t="n"/>
      <c r="AH46" s="756" t="n"/>
      <c r="AI46" s="756" t="n"/>
      <c r="AJ46" s="4" t="n"/>
      <c r="AK46" s="59" t="n"/>
      <c r="AL46" s="217" t="inlineStr">
        <is>
          <t>EAPC</t>
        </is>
      </c>
      <c r="AS46" s="709" t="n"/>
    </row>
    <row r="47" ht="15.75" customHeight="1" s="757">
      <c r="A47" s="10" t="inlineStr">
        <is>
          <t>TARRAGONA tarda</t>
        </is>
      </c>
      <c r="B47" s="11" t="n"/>
      <c r="C47" s="11" t="n"/>
      <c r="D47" s="12" t="n"/>
      <c r="E47" s="756" t="n"/>
      <c r="F47" s="756" t="n"/>
      <c r="G47" s="84" t="n"/>
      <c r="H47" s="84" t="n"/>
      <c r="J47" s="756" t="n"/>
      <c r="K47" s="756" t="n"/>
      <c r="L47" s="756" t="n"/>
      <c r="M47" s="756" t="n"/>
      <c r="N47" s="84" t="n"/>
      <c r="O47" s="84" t="n"/>
      <c r="P47" s="756" t="n"/>
      <c r="Q47" s="756" t="n"/>
      <c r="R47" s="756" t="n"/>
      <c r="S47" s="756" t="n"/>
      <c r="T47" s="756" t="n"/>
      <c r="U47" s="84" t="n"/>
      <c r="V47" s="84" t="n"/>
      <c r="W47" s="756" t="n"/>
      <c r="X47" s="756" t="n"/>
      <c r="Y47" s="756" t="n"/>
      <c r="Z47" s="756" t="n"/>
      <c r="AA47" s="756" t="n"/>
      <c r="AB47" s="84" t="n"/>
      <c r="AC47" s="84" t="n"/>
      <c r="AD47" s="756" t="n"/>
      <c r="AE47" s="756" t="n"/>
      <c r="AF47" s="756" t="n"/>
      <c r="AG47" s="756" t="n"/>
      <c r="AH47" s="756" t="n"/>
      <c r="AI47" s="756" t="n"/>
      <c r="AJ47" s="4" t="n"/>
      <c r="AK47" s="709" t="n"/>
      <c r="AR47" s="637" t="n"/>
      <c r="AT47" s="668" t="n"/>
    </row>
    <row r="48" ht="19.5" customHeight="1" s="757" thickBot="1">
      <c r="A48" s="788" t="inlineStr">
        <is>
          <t>JULIOL</t>
        </is>
      </c>
      <c r="B48" s="156" t="n"/>
      <c r="C48" s="156" t="n"/>
      <c r="D48" s="156" t="n"/>
      <c r="E48" s="156" t="n"/>
      <c r="F48" s="156" t="n"/>
      <c r="G48" s="156" t="n"/>
      <c r="H48" s="156" t="n"/>
      <c r="I48" s="156" t="n"/>
      <c r="J48" s="156" t="n"/>
      <c r="K48" s="156" t="n"/>
      <c r="L48" s="156" t="n"/>
      <c r="M48" s="156" t="n"/>
      <c r="N48" s="156" t="n"/>
      <c r="O48" s="156" t="n"/>
      <c r="P48" s="156" t="n"/>
      <c r="Q48" s="156" t="n"/>
      <c r="R48" s="156" t="n"/>
      <c r="S48" s="156" t="n"/>
      <c r="T48" s="156" t="n"/>
      <c r="U48" s="156" t="n"/>
      <c r="V48" s="156" t="n"/>
      <c r="W48" s="156" t="n"/>
      <c r="X48" s="156" t="n"/>
      <c r="Y48" s="156" t="n"/>
      <c r="Z48" s="156" t="n"/>
      <c r="AA48" s="156" t="n"/>
      <c r="AB48" s="156" t="n"/>
      <c r="AC48" s="156" t="n"/>
      <c r="AD48" s="156" t="n"/>
      <c r="AE48" s="156" t="n"/>
      <c r="AF48" s="156" t="n"/>
      <c r="AG48" s="156" t="n"/>
      <c r="AH48" s="156" t="n"/>
      <c r="AI48" s="142" t="n"/>
      <c r="AJ48" s="524" t="inlineStr">
        <is>
          <t>21 DIES</t>
        </is>
      </c>
    </row>
    <row r="49" ht="65.25" customHeight="1" s="757">
      <c r="A49" s="7" t="inlineStr">
        <is>
          <t>AULA</t>
        </is>
      </c>
      <c r="B49" s="8" t="inlineStr">
        <is>
          <t>INICI</t>
        </is>
      </c>
      <c r="C49" s="8" t="inlineStr">
        <is>
          <t>FINAL</t>
        </is>
      </c>
      <c r="D49" s="8" t="inlineStr">
        <is>
          <t>AULA</t>
        </is>
      </c>
      <c r="E49" s="9" t="n">
        <v>45108</v>
      </c>
      <c r="F49" s="9" t="n">
        <v>45109</v>
      </c>
      <c r="G49" s="9" t="n">
        <v>45110</v>
      </c>
      <c r="H49" s="9" t="n">
        <v>45111</v>
      </c>
      <c r="I49" s="9" t="n">
        <v>45112</v>
      </c>
      <c r="J49" s="9" t="n">
        <v>45113</v>
      </c>
      <c r="K49" s="9" t="n">
        <v>45114</v>
      </c>
      <c r="L49" s="9" t="n">
        <v>45115</v>
      </c>
      <c r="M49" s="9" t="n">
        <v>45116</v>
      </c>
      <c r="N49" s="9" t="n">
        <v>45117</v>
      </c>
      <c r="O49" s="9" t="n">
        <v>45118</v>
      </c>
      <c r="P49" s="9" t="n">
        <v>45119</v>
      </c>
      <c r="Q49" s="9" t="n">
        <v>45120</v>
      </c>
      <c r="R49" s="9" t="n">
        <v>45121</v>
      </c>
      <c r="S49" s="9" t="n">
        <v>45122</v>
      </c>
      <c r="T49" s="9" t="n">
        <v>45123</v>
      </c>
      <c r="U49" s="9" t="n">
        <v>45124</v>
      </c>
      <c r="V49" s="9" t="n">
        <v>45125</v>
      </c>
      <c r="W49" s="9" t="n">
        <v>45126</v>
      </c>
      <c r="X49" s="9" t="n">
        <v>45127</v>
      </c>
      <c r="Y49" s="9" t="n">
        <v>45128</v>
      </c>
      <c r="Z49" s="9" t="n">
        <v>45129</v>
      </c>
      <c r="AA49" s="9" t="n">
        <v>45130</v>
      </c>
      <c r="AB49" s="9" t="n">
        <v>45131</v>
      </c>
      <c r="AC49" s="9" t="n">
        <v>45132</v>
      </c>
      <c r="AD49" s="9" t="n">
        <v>45133</v>
      </c>
      <c r="AE49" s="9" t="n">
        <v>45134</v>
      </c>
      <c r="AF49" s="9" t="n">
        <v>45135</v>
      </c>
      <c r="AG49" s="9" t="n">
        <v>45136</v>
      </c>
      <c r="AH49" s="9" t="n">
        <v>45137</v>
      </c>
      <c r="AI49" s="171" t="n">
        <v>45138</v>
      </c>
      <c r="AJ49" s="4" t="n"/>
    </row>
    <row r="50" ht="15.75" customHeight="1" s="757">
      <c r="A50" s="10" t="inlineStr">
        <is>
          <t>GOOGLE MATINS</t>
        </is>
      </c>
      <c r="B50" s="11" t="n"/>
      <c r="C50" s="11" t="n"/>
      <c r="D50" s="12" t="n"/>
      <c r="E50" s="84" t="n"/>
      <c r="F50" s="84" t="n"/>
      <c r="G50" s="21" t="n"/>
      <c r="H50" s="21" t="n"/>
      <c r="I50" s="21" t="n"/>
      <c r="J50" s="21" t="n"/>
      <c r="K50" s="21" t="n"/>
      <c r="L50" s="84" t="n"/>
      <c r="M50" s="84" t="n"/>
      <c r="N50" s="21" t="n"/>
      <c r="O50" s="207" t="n"/>
      <c r="P50" s="209" t="n"/>
      <c r="Q50" s="31" t="n"/>
      <c r="R50" s="31" t="n"/>
      <c r="S50" s="84" t="n"/>
      <c r="T50" s="84" t="n"/>
      <c r="U50" s="31" t="n"/>
      <c r="V50" s="31" t="n"/>
      <c r="W50" s="31" t="n"/>
      <c r="X50" s="31" t="n"/>
      <c r="Y50" s="31" t="n"/>
      <c r="Z50" s="84" t="n"/>
      <c r="AA50" s="84" t="n"/>
      <c r="AB50" s="31" t="n"/>
      <c r="AC50" s="210" t="n"/>
      <c r="AD50" s="210" t="n"/>
      <c r="AE50" s="31" t="n"/>
      <c r="AF50" s="211" t="n"/>
      <c r="AG50" s="84" t="n"/>
      <c r="AH50" s="180" t="n"/>
      <c r="AI50" s="211" t="n"/>
      <c r="AJ50" s="4" t="n">
        <v>20</v>
      </c>
      <c r="AL50" s="704" t="inlineStr">
        <is>
          <t>ADGG0208</t>
        </is>
      </c>
      <c r="AU50" s="668" t="n"/>
    </row>
    <row r="51" ht="16.5" customHeight="1" s="757" thickBot="1">
      <c r="A51" s="14" t="inlineStr">
        <is>
          <t>FIREFOX MATINS</t>
        </is>
      </c>
      <c r="B51" s="15" t="n"/>
      <c r="C51" s="15" t="n"/>
      <c r="D51" s="15" t="n"/>
      <c r="E51" s="86" t="n"/>
      <c r="F51" s="86" t="n"/>
      <c r="G51" s="778" t="n"/>
      <c r="H51" s="778" t="n"/>
      <c r="I51" s="778" t="n"/>
      <c r="J51" s="778" t="n"/>
      <c r="K51" s="778" t="n"/>
      <c r="L51" s="86" t="n"/>
      <c r="M51" s="86" t="n"/>
      <c r="N51" s="778" t="n"/>
      <c r="O51" s="778" t="n"/>
      <c r="P51" s="778" t="n"/>
      <c r="Q51" s="778" t="n"/>
      <c r="R51" s="778" t="n"/>
      <c r="S51" s="86" t="n"/>
      <c r="T51" s="86" t="n"/>
      <c r="U51" s="778" t="n"/>
      <c r="V51" s="778" t="n"/>
      <c r="W51" s="778" t="n"/>
      <c r="X51" s="778" t="n"/>
      <c r="Y51" s="778" t="n"/>
      <c r="Z51" s="86" t="n"/>
      <c r="AA51" s="86" t="n"/>
      <c r="AB51" s="778" t="n"/>
      <c r="AC51" s="778" t="n"/>
      <c r="AD51" s="778" t="n"/>
      <c r="AE51" s="778" t="n"/>
      <c r="AF51" s="778" t="n"/>
      <c r="AG51" s="86" t="n"/>
      <c r="AH51" s="86" t="n"/>
      <c r="AI51" s="185" t="n"/>
      <c r="AJ51" s="4" t="n"/>
    </row>
    <row r="52" ht="16.5" customHeight="1" s="757" thickTop="1">
      <c r="A52" s="17" t="inlineStr">
        <is>
          <t>GOOGLE TARDA</t>
        </is>
      </c>
      <c r="B52" s="18" t="n"/>
      <c r="C52" s="18" t="n"/>
      <c r="D52" s="18" t="n"/>
      <c r="E52" s="88" t="n"/>
      <c r="F52" s="88" t="n"/>
      <c r="G52" s="755" t="n"/>
      <c r="H52" s="40" t="n"/>
      <c r="I52" s="40" t="n"/>
      <c r="J52" s="40" t="n"/>
      <c r="K52" s="40" t="n"/>
      <c r="L52" s="88" t="n"/>
      <c r="M52" s="88" t="n"/>
      <c r="N52" s="755" t="n"/>
      <c r="O52" s="755" t="n"/>
      <c r="P52" s="755" t="n"/>
      <c r="Q52" s="755" t="n"/>
      <c r="R52" s="755" t="n"/>
      <c r="S52" s="88" t="n"/>
      <c r="T52" s="88" t="n"/>
      <c r="U52" s="755" t="n"/>
      <c r="V52" s="755" t="n"/>
      <c r="W52" s="755" t="n"/>
      <c r="X52" s="755" t="n"/>
      <c r="Y52" s="755" t="n"/>
      <c r="Z52" s="84" t="n"/>
      <c r="AA52" s="88" t="n"/>
      <c r="AB52" s="755" t="n"/>
      <c r="AC52" s="755" t="n"/>
      <c r="AD52" s="755" t="n"/>
      <c r="AE52" s="755" t="n"/>
      <c r="AF52" s="755" t="n"/>
      <c r="AG52" s="88" t="n"/>
      <c r="AH52" s="88" t="n"/>
      <c r="AI52" s="149" t="n"/>
      <c r="AJ52" s="4" t="n"/>
      <c r="AU52" s="668" t="n"/>
    </row>
    <row r="53" ht="15.75" customHeight="1" s="757">
      <c r="A53" s="10" t="inlineStr">
        <is>
          <t>FIREFOX TARDA</t>
        </is>
      </c>
      <c r="B53" s="11" t="n"/>
      <c r="C53" s="11" t="n"/>
      <c r="D53" s="12" t="n"/>
      <c r="E53" s="84" t="n"/>
      <c r="F53" s="84" t="n"/>
      <c r="G53" s="756" t="n"/>
      <c r="H53" s="756" t="n"/>
      <c r="I53" s="756" t="n"/>
      <c r="J53" s="756" t="n"/>
      <c r="K53" s="756" t="n"/>
      <c r="L53" s="84" t="n"/>
      <c r="M53" s="84" t="n"/>
      <c r="N53" s="756" t="n"/>
      <c r="O53" s="756" t="n"/>
      <c r="P53" s="756" t="n"/>
      <c r="Q53" s="756" t="n"/>
      <c r="R53" s="756" t="n"/>
      <c r="S53" s="84" t="n"/>
      <c r="T53" s="84" t="n"/>
      <c r="U53" s="756" t="n"/>
      <c r="V53" s="756" t="n"/>
      <c r="W53" s="756" t="n"/>
      <c r="X53" s="756" t="n"/>
      <c r="Y53" s="756" t="n"/>
      <c r="Z53" s="84" t="n"/>
      <c r="AA53" s="84" t="n"/>
      <c r="AB53" s="756" t="n"/>
      <c r="AC53" s="756" t="n"/>
      <c r="AD53" s="756" t="n"/>
      <c r="AE53" s="756" t="n"/>
      <c r="AF53" s="756" t="n"/>
      <c r="AG53" s="84" t="n"/>
      <c r="AH53" s="84" t="n"/>
      <c r="AI53" s="147" t="n"/>
      <c r="AJ53" s="4" t="n"/>
      <c r="AK53" s="668" t="n"/>
    </row>
    <row r="54" ht="15.75" customHeight="1" s="757">
      <c r="A54" s="10" t="inlineStr">
        <is>
          <t>TARRAGONA mati</t>
        </is>
      </c>
      <c r="B54" s="11" t="n"/>
      <c r="C54" s="11" t="n"/>
      <c r="D54" s="12" t="n"/>
      <c r="E54" s="84" t="n"/>
      <c r="F54" s="84" t="n"/>
      <c r="G54" s="756" t="n"/>
      <c r="H54" s="756" t="n"/>
      <c r="I54" s="756" t="n"/>
      <c r="J54" s="756" t="n"/>
      <c r="K54" s="756" t="n"/>
      <c r="L54" s="84" t="n"/>
      <c r="M54" s="84" t="n"/>
      <c r="N54" s="756" t="n"/>
      <c r="O54" s="756" t="n"/>
      <c r="P54" s="756" t="n"/>
      <c r="Q54" s="756" t="n"/>
      <c r="R54" s="756" t="n"/>
      <c r="S54" s="84" t="n"/>
      <c r="T54" s="84" t="n"/>
      <c r="U54" s="756" t="n"/>
      <c r="V54" s="756" t="n"/>
      <c r="W54" s="756" t="n"/>
      <c r="X54" s="756" t="n"/>
      <c r="Y54" s="756" t="n"/>
      <c r="Z54" s="84" t="n"/>
      <c r="AA54" s="84" t="n"/>
      <c r="AB54" s="756" t="n"/>
      <c r="AC54" s="756" t="n"/>
      <c r="AD54" s="756" t="n"/>
      <c r="AE54" s="756" t="n"/>
      <c r="AF54" s="756" t="n"/>
      <c r="AG54" s="84" t="n"/>
      <c r="AH54" s="84" t="n"/>
      <c r="AI54" s="147" t="n"/>
      <c r="AJ54" s="4" t="n"/>
      <c r="AK54" s="59" t="n"/>
    </row>
    <row r="55" ht="15.75" customHeight="1" s="757">
      <c r="A55" s="10" t="inlineStr">
        <is>
          <t>TARRAGONA tarda</t>
        </is>
      </c>
      <c r="B55" s="11" t="n"/>
      <c r="C55" s="11" t="n"/>
      <c r="D55" s="12" t="n"/>
      <c r="E55" s="84" t="n"/>
      <c r="F55" s="84" t="n"/>
      <c r="G55" s="756" t="n"/>
      <c r="H55" s="756" t="n"/>
      <c r="I55" s="756" t="n"/>
      <c r="J55" s="756" t="n"/>
      <c r="K55" s="756" t="n"/>
      <c r="L55" s="84" t="n"/>
      <c r="M55" s="84" t="n"/>
      <c r="N55" s="756" t="n"/>
      <c r="O55" s="756" t="n"/>
      <c r="P55" s="756" t="n"/>
      <c r="Q55" s="756" t="n"/>
      <c r="R55" s="756" t="n"/>
      <c r="S55" s="84" t="n"/>
      <c r="T55" s="84" t="n"/>
      <c r="U55" s="756" t="n"/>
      <c r="V55" s="756" t="n"/>
      <c r="W55" s="756" t="n"/>
      <c r="X55" s="756" t="n"/>
      <c r="Y55" s="756" t="n"/>
      <c r="Z55" s="84" t="n"/>
      <c r="AA55" s="84" t="n"/>
      <c r="AB55" s="756" t="n"/>
      <c r="AC55" s="756" t="n"/>
      <c r="AD55" s="756" t="n"/>
      <c r="AE55" s="756" t="n"/>
      <c r="AF55" s="756" t="n"/>
      <c r="AG55" s="84" t="n"/>
      <c r="AH55" s="84" t="n"/>
      <c r="AI55" s="147" t="n"/>
      <c r="AJ55" s="4" t="n"/>
      <c r="AK55" s="59" t="n"/>
      <c r="AX55" t="inlineStr">
        <is>
          <t> </t>
        </is>
      </c>
    </row>
    <row r="56" ht="19.5" customHeight="1" s="757" thickBot="1">
      <c r="A56" s="788" t="inlineStr">
        <is>
          <t>AGOST</t>
        </is>
      </c>
      <c r="B56" s="156" t="n"/>
      <c r="C56" s="156" t="n"/>
      <c r="D56" s="156" t="n"/>
      <c r="E56" s="156" t="n"/>
      <c r="F56" s="156" t="n"/>
      <c r="G56" s="156" t="n"/>
      <c r="H56" s="156" t="n"/>
      <c r="I56" s="156" t="n"/>
      <c r="J56" s="156" t="n"/>
      <c r="K56" s="156" t="n"/>
      <c r="L56" s="156" t="n"/>
      <c r="M56" s="156" t="n"/>
      <c r="N56" s="156" t="n"/>
      <c r="O56" s="156" t="n"/>
      <c r="P56" s="156" t="n"/>
      <c r="Q56" s="156" t="n"/>
      <c r="R56" s="156" t="n"/>
      <c r="S56" s="156" t="n"/>
      <c r="T56" s="156" t="n"/>
      <c r="U56" s="156" t="n"/>
      <c r="V56" s="156" t="n"/>
      <c r="W56" s="156" t="n"/>
      <c r="X56" s="156" t="n"/>
      <c r="Y56" s="156" t="n"/>
      <c r="Z56" s="156" t="n"/>
      <c r="AA56" s="156" t="n"/>
      <c r="AB56" s="156" t="n"/>
      <c r="AC56" s="156" t="n"/>
      <c r="AD56" s="156" t="n"/>
      <c r="AE56" s="156" t="n"/>
      <c r="AF56" s="156" t="n"/>
      <c r="AG56" s="156" t="n"/>
      <c r="AH56" s="156" t="n"/>
      <c r="AI56" s="142" t="n"/>
      <c r="AJ56" s="524" t="inlineStr">
        <is>
          <t>4DIES</t>
        </is>
      </c>
    </row>
    <row r="57" ht="64.5" customHeight="1" s="757">
      <c r="A57" s="7" t="inlineStr">
        <is>
          <t>AULA</t>
        </is>
      </c>
      <c r="B57" s="8" t="inlineStr">
        <is>
          <t>INICI</t>
        </is>
      </c>
      <c r="C57" s="8" t="inlineStr">
        <is>
          <t>FINAL</t>
        </is>
      </c>
      <c r="D57" s="8" t="inlineStr">
        <is>
          <t>AULA</t>
        </is>
      </c>
      <c r="E57" s="9" t="n">
        <v>45139</v>
      </c>
      <c r="F57" s="9" t="n">
        <v>45140</v>
      </c>
      <c r="G57" s="9" t="n">
        <v>45141</v>
      </c>
      <c r="H57" s="9" t="n">
        <v>45142</v>
      </c>
      <c r="I57" s="9" t="n">
        <v>45143</v>
      </c>
      <c r="J57" s="9" t="n">
        <v>45144</v>
      </c>
      <c r="K57" s="9" t="n">
        <v>45145</v>
      </c>
      <c r="L57" s="9" t="n">
        <v>45146</v>
      </c>
      <c r="M57" s="9" t="n">
        <v>45147</v>
      </c>
      <c r="N57" s="9" t="n">
        <v>45148</v>
      </c>
      <c r="O57" s="9" t="n">
        <v>45149</v>
      </c>
      <c r="P57" s="9" t="n">
        <v>45150</v>
      </c>
      <c r="Q57" s="9" t="n">
        <v>45151</v>
      </c>
      <c r="R57" s="9" t="n">
        <v>45152</v>
      </c>
      <c r="S57" s="9" t="n">
        <v>45153</v>
      </c>
      <c r="T57" s="9" t="n">
        <v>45154</v>
      </c>
      <c r="U57" s="9" t="n">
        <v>45155</v>
      </c>
      <c r="V57" s="9" t="n">
        <v>45156</v>
      </c>
      <c r="W57" s="9" t="n">
        <v>45157</v>
      </c>
      <c r="X57" s="9" t="n">
        <v>45158</v>
      </c>
      <c r="Y57" s="9" t="n">
        <v>45159</v>
      </c>
      <c r="Z57" s="9" t="n">
        <v>45160</v>
      </c>
      <c r="AA57" s="9" t="n">
        <v>45161</v>
      </c>
      <c r="AB57" s="9" t="n">
        <v>45162</v>
      </c>
      <c r="AC57" s="9" t="n">
        <v>45163</v>
      </c>
      <c r="AD57" s="9" t="n">
        <v>45164</v>
      </c>
      <c r="AE57" s="9" t="n">
        <v>45165</v>
      </c>
      <c r="AF57" s="9" t="n">
        <v>45166</v>
      </c>
      <c r="AG57" s="9" t="n">
        <v>45167</v>
      </c>
      <c r="AH57" s="9" t="n">
        <v>45168</v>
      </c>
      <c r="AI57" s="9" t="n">
        <v>45169</v>
      </c>
      <c r="AJ57" s="4" t="n"/>
    </row>
    <row r="58" ht="15.75" customHeight="1" s="757">
      <c r="A58" s="10" t="inlineStr">
        <is>
          <t>GOOGLE MATINS</t>
        </is>
      </c>
      <c r="B58" s="11" t="n"/>
      <c r="C58" s="11" t="n"/>
      <c r="D58" s="12" t="n"/>
      <c r="E58" s="147" t="n"/>
      <c r="F58" s="147" t="n"/>
      <c r="G58" s="147" t="n"/>
      <c r="H58" s="147" t="n"/>
      <c r="I58" s="84" t="n"/>
      <c r="J58" s="84" t="n"/>
      <c r="K58" s="147" t="n"/>
      <c r="L58" s="147" t="n"/>
      <c r="M58" s="147" t="n"/>
      <c r="N58" s="147" t="n"/>
      <c r="O58" s="147" t="n"/>
      <c r="P58" s="84" t="n"/>
      <c r="Q58" s="84" t="n"/>
      <c r="R58" s="147" t="n"/>
      <c r="S58" s="26" t="n"/>
      <c r="T58" s="147" t="n"/>
      <c r="U58" s="147" t="n"/>
      <c r="V58" s="147" t="n"/>
      <c r="W58" s="84" t="n"/>
      <c r="X58" s="84" t="n"/>
      <c r="Y58" s="147" t="n"/>
      <c r="Z58" s="147" t="n"/>
      <c r="AA58" s="147" t="n"/>
      <c r="AB58" s="147" t="n"/>
      <c r="AC58" s="147" t="n"/>
      <c r="AD58" s="84" t="n"/>
      <c r="AE58" s="84" t="n"/>
      <c r="AF58" s="141" t="n"/>
      <c r="AG58" s="141" t="n"/>
      <c r="AH58" s="141" t="n"/>
      <c r="AI58" s="186" t="n"/>
      <c r="AJ58" s="4" t="n">
        <v>4</v>
      </c>
      <c r="AL58" s="704" t="inlineStr">
        <is>
          <t>ADGG0208</t>
        </is>
      </c>
    </row>
    <row r="59" ht="16.5" customHeight="1" s="757" thickBot="1">
      <c r="A59" s="14" t="inlineStr">
        <is>
          <t>FIREFOX MATINS</t>
        </is>
      </c>
      <c r="B59" s="15" t="n"/>
      <c r="C59" s="15" t="n"/>
      <c r="D59" s="15" t="n"/>
      <c r="E59" s="148" t="n"/>
      <c r="F59" s="148" t="n"/>
      <c r="G59" s="148" t="n"/>
      <c r="H59" s="148" t="n"/>
      <c r="I59" s="86" t="n"/>
      <c r="J59" s="86" t="n"/>
      <c r="K59" s="148" t="n"/>
      <c r="L59" s="148" t="n"/>
      <c r="M59" s="148" t="n"/>
      <c r="N59" s="148" t="n"/>
      <c r="O59" s="148" t="n"/>
      <c r="P59" s="86" t="n"/>
      <c r="Q59" s="86" t="n"/>
      <c r="R59" s="148" t="n"/>
      <c r="S59" s="27" t="n"/>
      <c r="T59" s="148" t="n"/>
      <c r="U59" s="148" t="n"/>
      <c r="V59" s="148" t="n"/>
      <c r="W59" s="86" t="n"/>
      <c r="X59" s="86" t="n"/>
      <c r="Y59" s="148" t="n"/>
      <c r="Z59" s="148" t="n"/>
      <c r="AA59" s="148" t="n"/>
      <c r="AB59" s="148" t="n"/>
      <c r="AC59" s="148" t="n"/>
      <c r="AD59" s="86" t="n"/>
      <c r="AE59" s="86" t="n"/>
      <c r="AF59" s="778" t="n"/>
      <c r="AG59" s="778" t="n"/>
      <c r="AH59" s="778" t="n"/>
      <c r="AI59" s="778" t="n"/>
      <c r="AJ59" s="4" t="n"/>
    </row>
    <row r="60" ht="16.5" customHeight="1" s="757" thickTop="1">
      <c r="A60" s="17" t="inlineStr">
        <is>
          <t>GOOGLE TARDA</t>
        </is>
      </c>
      <c r="B60" s="18" t="n"/>
      <c r="C60" s="18" t="n"/>
      <c r="D60" s="18" t="n"/>
      <c r="E60" s="149" t="n"/>
      <c r="F60" s="149" t="n"/>
      <c r="G60" s="149" t="n"/>
      <c r="H60" s="150" t="n"/>
      <c r="I60" s="92" t="n"/>
      <c r="J60" s="92" t="n"/>
      <c r="K60" s="150" t="n"/>
      <c r="L60" s="149" t="n"/>
      <c r="M60" s="149" t="n"/>
      <c r="N60" s="149" t="n"/>
      <c r="O60" s="149" t="n"/>
      <c r="P60" s="88" t="n"/>
      <c r="Q60" s="88" t="n"/>
      <c r="R60" s="149" t="n"/>
      <c r="S60" s="28" t="n"/>
      <c r="T60" s="149" t="n"/>
      <c r="U60" s="149" t="n"/>
      <c r="V60" s="149" t="n"/>
      <c r="W60" s="88" t="n"/>
      <c r="X60" s="88" t="n"/>
      <c r="Y60" s="149" t="n"/>
      <c r="Z60" s="149" t="n"/>
      <c r="AA60" s="149" t="n"/>
      <c r="AB60" s="149" t="n"/>
      <c r="AC60" s="149" t="n"/>
      <c r="AD60" s="88" t="n"/>
      <c r="AE60" s="88" t="n"/>
      <c r="AF60" s="755" t="n"/>
      <c r="AG60" s="755" t="n"/>
      <c r="AH60" s="755" t="n"/>
      <c r="AI60" s="755" t="n"/>
      <c r="AJ60" s="4" t="n"/>
      <c r="AK60" s="668" t="n"/>
    </row>
    <row r="61" ht="15.75" customHeight="1" s="757">
      <c r="A61" s="10" t="inlineStr">
        <is>
          <t>FIREFOX TARDA</t>
        </is>
      </c>
      <c r="B61" s="11" t="n"/>
      <c r="C61" s="11" t="n"/>
      <c r="D61" s="12" t="n"/>
      <c r="E61" s="147" t="n"/>
      <c r="F61" s="147" t="n"/>
      <c r="G61" s="147" t="n"/>
      <c r="H61" s="147" t="n"/>
      <c r="I61" s="84" t="n"/>
      <c r="J61" s="84" t="n"/>
      <c r="K61" s="147" t="n"/>
      <c r="L61" s="147" t="n"/>
      <c r="M61" s="147" t="n"/>
      <c r="N61" s="147" t="n"/>
      <c r="O61" s="147" t="n"/>
      <c r="P61" s="84" t="n"/>
      <c r="Q61" s="84" t="n"/>
      <c r="R61" s="147" t="n"/>
      <c r="S61" s="26" t="n"/>
      <c r="T61" s="147" t="n"/>
      <c r="U61" s="147" t="n"/>
      <c r="V61" s="147" t="n"/>
      <c r="W61" s="84" t="n"/>
      <c r="X61" s="84" t="n"/>
      <c r="Y61" s="147" t="n"/>
      <c r="Z61" s="147" t="n"/>
      <c r="AA61" s="147" t="n"/>
      <c r="AB61" s="147" t="n"/>
      <c r="AC61" s="147" t="n"/>
      <c r="AD61" s="84" t="n"/>
      <c r="AE61" s="84" t="n"/>
      <c r="AF61" s="756" t="n"/>
      <c r="AG61" s="756" t="n"/>
      <c r="AH61" s="756" t="n"/>
      <c r="AI61" s="756" t="n"/>
      <c r="AJ61" s="4" t="n"/>
    </row>
    <row r="62" ht="19.5" customHeight="1" s="757" thickBot="1">
      <c r="A62" s="788" t="inlineStr">
        <is>
          <t>SETEMBRE</t>
        </is>
      </c>
      <c r="B62" s="156" t="n"/>
      <c r="C62" s="156" t="n"/>
      <c r="D62" s="156" t="n"/>
      <c r="E62" s="156" t="n"/>
      <c r="F62" s="156" t="n"/>
      <c r="G62" s="156" t="n"/>
      <c r="H62" s="156" t="n"/>
      <c r="I62" s="156" t="n"/>
      <c r="J62" s="156" t="n"/>
      <c r="K62" s="156" t="n"/>
      <c r="L62" s="156" t="n"/>
      <c r="M62" s="156" t="n"/>
      <c r="N62" s="156" t="n"/>
      <c r="O62" s="156" t="n"/>
      <c r="P62" s="156" t="n"/>
      <c r="Q62" s="156" t="n"/>
      <c r="R62" s="156" t="n"/>
      <c r="S62" s="156" t="n"/>
      <c r="T62" s="156" t="n"/>
      <c r="U62" s="156" t="n"/>
      <c r="V62" s="156" t="n"/>
      <c r="W62" s="156" t="n"/>
      <c r="X62" s="156" t="n"/>
      <c r="Y62" s="156" t="n"/>
      <c r="Z62" s="156" t="n"/>
      <c r="AA62" s="156" t="n"/>
      <c r="AB62" s="156" t="n"/>
      <c r="AC62" s="156" t="n"/>
      <c r="AD62" s="156" t="n"/>
      <c r="AE62" s="156" t="n"/>
      <c r="AF62" s="156" t="n"/>
      <c r="AG62" s="156" t="n"/>
      <c r="AH62" s="156" t="n"/>
      <c r="AI62" s="142" t="n"/>
      <c r="AJ62" s="524" t="inlineStr">
        <is>
          <t>18 DIES</t>
        </is>
      </c>
    </row>
    <row r="63" ht="64.5" customHeight="1" s="757">
      <c r="A63" s="7" t="inlineStr">
        <is>
          <t>AULA</t>
        </is>
      </c>
      <c r="B63" s="8" t="inlineStr">
        <is>
          <t>INICI</t>
        </is>
      </c>
      <c r="C63" s="8" t="inlineStr">
        <is>
          <t>FINAL</t>
        </is>
      </c>
      <c r="D63" s="8" t="inlineStr">
        <is>
          <t>AULA</t>
        </is>
      </c>
      <c r="E63" s="9" t="n">
        <v>45170</v>
      </c>
      <c r="F63" s="9" t="n">
        <v>45171</v>
      </c>
      <c r="G63" s="9" t="n">
        <v>45172</v>
      </c>
      <c r="H63" s="9" t="n">
        <v>45173</v>
      </c>
      <c r="I63" s="9" t="n">
        <v>45174</v>
      </c>
      <c r="J63" s="9" t="n">
        <v>45175</v>
      </c>
      <c r="K63" s="9" t="n">
        <v>45176</v>
      </c>
      <c r="L63" s="9" t="n">
        <v>45177</v>
      </c>
      <c r="M63" s="9" t="n">
        <v>45178</v>
      </c>
      <c r="N63" s="9" t="n">
        <v>45179</v>
      </c>
      <c r="O63" s="9" t="n">
        <v>45180</v>
      </c>
      <c r="P63" s="9" t="n">
        <v>45181</v>
      </c>
      <c r="Q63" s="9" t="n">
        <v>45182</v>
      </c>
      <c r="R63" s="171" t="n">
        <v>45183</v>
      </c>
      <c r="S63" s="9" t="n">
        <v>45184</v>
      </c>
      <c r="T63" s="9" t="n">
        <v>45185</v>
      </c>
      <c r="U63" s="9" t="n">
        <v>45186</v>
      </c>
      <c r="V63" s="9" t="n">
        <v>45187</v>
      </c>
      <c r="W63" s="171" t="n">
        <v>45188</v>
      </c>
      <c r="X63" s="9" t="n">
        <v>45189</v>
      </c>
      <c r="Y63" s="9" t="n">
        <v>45190</v>
      </c>
      <c r="Z63" s="171" t="n">
        <v>45191</v>
      </c>
      <c r="AA63" s="9" t="n">
        <v>45192</v>
      </c>
      <c r="AB63" s="9" t="n">
        <v>45193</v>
      </c>
      <c r="AC63" s="9" t="n">
        <v>45194</v>
      </c>
      <c r="AD63" s="9" t="n">
        <v>45195</v>
      </c>
      <c r="AE63" s="9" t="n">
        <v>45196</v>
      </c>
      <c r="AF63" s="9" t="n">
        <v>45197</v>
      </c>
      <c r="AG63" s="9" t="n">
        <v>45198</v>
      </c>
      <c r="AH63" s="9" t="n">
        <v>45199</v>
      </c>
      <c r="AI63" s="9" t="n"/>
      <c r="AJ63" s="4" t="n"/>
    </row>
    <row r="64" ht="15.75" customHeight="1" s="757">
      <c r="A64" s="10" t="inlineStr">
        <is>
          <t>GOOGLE MATINS</t>
        </is>
      </c>
      <c r="B64" s="11" t="n"/>
      <c r="C64" s="11" t="n"/>
      <c r="D64" s="12" t="n"/>
      <c r="E64" s="756" t="n"/>
      <c r="F64" s="84" t="n"/>
      <c r="G64" s="84" t="n"/>
      <c r="H64" s="26" t="n"/>
      <c r="I64" s="141" t="n"/>
      <c r="J64" s="141" t="n"/>
      <c r="K64" s="141" t="n"/>
      <c r="L64" s="141" t="n"/>
      <c r="M64" s="84" t="n"/>
      <c r="N64" s="84" t="n"/>
      <c r="O64" s="26" t="n"/>
      <c r="P64" s="141" t="n"/>
      <c r="Q64" s="157" t="n"/>
      <c r="R64" s="157" t="n"/>
      <c r="S64" s="174" t="n"/>
      <c r="T64" s="158" t="inlineStr">
        <is>
          <t> </t>
        </is>
      </c>
      <c r="U64" s="84" t="n"/>
      <c r="V64" s="157" t="n"/>
      <c r="W64" s="172" t="n"/>
      <c r="X64" s="212" t="n"/>
      <c r="Y64" s="245" t="n"/>
      <c r="Z64" s="244" t="n"/>
      <c r="AA64" s="184" t="n"/>
      <c r="AB64" s="84" t="n"/>
      <c r="AC64" s="30" t="n"/>
      <c r="AD64" s="249" t="n"/>
      <c r="AE64" s="212" t="n"/>
      <c r="AF64" s="30" t="n"/>
      <c r="AG64" s="248" t="n"/>
      <c r="AH64" s="184" t="n"/>
      <c r="AI64" s="756" t="n"/>
      <c r="AJ64" s="4" t="n">
        <v>18</v>
      </c>
      <c r="AL64" s="704" t="inlineStr">
        <is>
          <t>ADGG0208</t>
        </is>
      </c>
      <c r="AX64" s="657" t="n"/>
    </row>
    <row r="65" ht="15.75" customHeight="1" s="757">
      <c r="A65" s="14" t="inlineStr">
        <is>
          <t>FIREFOX MATINS</t>
        </is>
      </c>
      <c r="B65" s="15" t="n"/>
      <c r="C65" s="15" t="n"/>
      <c r="D65" s="15" t="n"/>
      <c r="E65" s="778" t="n"/>
      <c r="F65" s="86" t="n"/>
      <c r="G65" s="86" t="n"/>
      <c r="H65" s="27" t="n"/>
      <c r="I65" s="778" t="n"/>
      <c r="J65" s="778" t="n"/>
      <c r="K65" s="778" t="n"/>
      <c r="L65" s="778" t="n"/>
      <c r="M65" s="86" t="n"/>
      <c r="N65" s="86" t="n"/>
      <c r="O65" s="27" t="n"/>
      <c r="P65" s="778" t="n"/>
      <c r="Q65" s="778" t="n"/>
      <c r="R65" s="173" t="n"/>
      <c r="S65" s="778" t="n"/>
      <c r="T65" s="86" t="n"/>
      <c r="U65" s="86" t="n"/>
      <c r="V65" s="778" t="n"/>
      <c r="W65" s="173" t="n"/>
      <c r="X65" s="778" t="n"/>
      <c r="Y65" s="778" t="n"/>
      <c r="Z65" s="173" t="n"/>
      <c r="AA65" s="86" t="n"/>
      <c r="AB65" s="86" t="n"/>
      <c r="AC65" s="778" t="n"/>
      <c r="AD65" s="173" t="n"/>
      <c r="AE65" s="778" t="n"/>
      <c r="AF65" s="778" t="n"/>
      <c r="AG65" s="778" t="n"/>
      <c r="AH65" s="86" t="n"/>
      <c r="AI65" s="756" t="n"/>
      <c r="AJ65" s="4" t="n"/>
      <c r="AK65" s="668" t="n"/>
    </row>
    <row r="66" ht="15.75" customHeight="1" s="757">
      <c r="A66" s="17" t="inlineStr">
        <is>
          <t>GOOGLE TARDA</t>
        </is>
      </c>
      <c r="B66" s="18" t="n"/>
      <c r="C66" s="18" t="n"/>
      <c r="D66" s="18" t="n"/>
      <c r="E66" s="755" t="n"/>
      <c r="F66" s="88" t="n"/>
      <c r="G66" s="88" t="n"/>
      <c r="H66" s="28" t="n"/>
      <c r="I66" s="40" t="n"/>
      <c r="J66" s="40" t="n"/>
      <c r="K66" s="47" t="n"/>
      <c r="L66" s="44" t="n"/>
      <c r="M66" s="88" t="n"/>
      <c r="N66" s="88" t="n"/>
      <c r="O66" s="28" t="n"/>
      <c r="P66" s="44" t="n"/>
      <c r="Q66" s="44" t="n"/>
      <c r="R66" s="44" t="n"/>
      <c r="S66" s="755" t="n"/>
      <c r="T66" s="88" t="n"/>
      <c r="U66" s="88" t="n"/>
      <c r="V66" s="755" t="n"/>
      <c r="W66" s="755" t="n"/>
      <c r="X66" s="755" t="n"/>
      <c r="Y66" s="755" t="n"/>
      <c r="Z66" s="755" t="n"/>
      <c r="AA66" s="88" t="n"/>
      <c r="AB66" s="88" t="n"/>
      <c r="AC66" s="755" t="n"/>
      <c r="AD66" s="755" t="n"/>
      <c r="AE66" s="755" t="n"/>
      <c r="AF66" s="755" t="n"/>
      <c r="AG66" s="755" t="n"/>
      <c r="AH66" s="88" t="n"/>
      <c r="AI66" s="755" t="n"/>
      <c r="AJ66" s="4" t="n"/>
      <c r="AL66" s="774" t="n"/>
      <c r="AW66" s="2" t="n"/>
      <c r="AX66" s="2" t="n"/>
    </row>
    <row r="67" ht="15.75" customHeight="1" s="757">
      <c r="A67" s="10" t="inlineStr">
        <is>
          <t>FIREFOX TARDA</t>
        </is>
      </c>
      <c r="B67" s="11" t="n"/>
      <c r="C67" s="11" t="n"/>
      <c r="D67" s="12" t="n"/>
      <c r="E67" s="756" t="n"/>
      <c r="F67" s="84" t="n"/>
      <c r="G67" s="84" t="n"/>
      <c r="H67" s="26" t="n"/>
      <c r="I67" s="756" t="n"/>
      <c r="J67" s="756" t="n"/>
      <c r="K67" s="247" t="n"/>
      <c r="L67" s="246" t="n"/>
      <c r="M67" s="84" t="n"/>
      <c r="N67" s="84" t="n"/>
      <c r="O67" s="26" t="n"/>
      <c r="P67" s="246" t="n"/>
      <c r="Q67" s="246" t="n"/>
      <c r="R67" s="246" t="n"/>
      <c r="S67" s="756" t="n"/>
      <c r="T67" s="84" t="n"/>
      <c r="U67" s="84" t="n"/>
      <c r="V67" s="756" t="n"/>
      <c r="W67" s="756" t="n"/>
      <c r="X67" s="756" t="n"/>
      <c r="Y67" s="756" t="n"/>
      <c r="Z67" s="756" t="n"/>
      <c r="AA67" s="84" t="n"/>
      <c r="AB67" s="84" t="n"/>
      <c r="AC67" s="756" t="n"/>
      <c r="AD67" s="756" t="n"/>
      <c r="AE67" s="756" t="n"/>
      <c r="AF67" s="756" t="n"/>
      <c r="AG67" s="756" t="n"/>
      <c r="AH67" s="84" t="n"/>
      <c r="AI67" s="756" t="n"/>
      <c r="AJ67" s="4" t="n"/>
      <c r="AL67" s="733" t="inlineStr">
        <is>
          <t>ADGD149PO</t>
        </is>
      </c>
    </row>
    <row r="68" ht="15.75" customHeight="1" s="757">
      <c r="A68" s="10" t="inlineStr">
        <is>
          <t>TARRAGONA MATI</t>
        </is>
      </c>
      <c r="B68" s="11" t="n"/>
      <c r="C68" s="11" t="n"/>
      <c r="D68" s="12" t="n"/>
      <c r="E68" s="756" t="n"/>
      <c r="F68" s="84" t="n"/>
      <c r="G68" s="84" t="n"/>
      <c r="H68" s="26" t="n"/>
      <c r="I68" s="756" t="n"/>
      <c r="J68" s="756" t="n"/>
      <c r="K68" s="756" t="n"/>
      <c r="L68" s="756" t="n"/>
      <c r="M68" s="84" t="n"/>
      <c r="N68" s="84" t="n"/>
      <c r="O68" s="26" t="n"/>
      <c r="P68" s="756" t="n"/>
      <c r="Q68" s="756" t="n"/>
      <c r="R68" s="756" t="n"/>
      <c r="S68" s="756" t="n"/>
      <c r="T68" s="84" t="n"/>
      <c r="U68" s="84" t="n"/>
      <c r="V68" s="21" t="n"/>
      <c r="W68" s="756" t="n"/>
      <c r="X68" s="21" t="n"/>
      <c r="Y68" s="756" t="n"/>
      <c r="Z68" s="756" t="n"/>
      <c r="AA68" s="84" t="n"/>
      <c r="AB68" s="84" t="n"/>
      <c r="AC68" s="21" t="n"/>
      <c r="AD68" s="756" t="n"/>
      <c r="AE68" s="21" t="n"/>
      <c r="AF68" s="756" t="n"/>
      <c r="AG68" s="756" t="n"/>
      <c r="AH68" s="84" t="n"/>
      <c r="AI68" s="756" t="n"/>
      <c r="AJ68" s="4" t="n"/>
      <c r="AK68" s="732" t="inlineStr">
        <is>
          <t>EAPC</t>
        </is>
      </c>
    </row>
    <row r="69" ht="19.5" customHeight="1" s="757" thickBot="1">
      <c r="A69" s="788" t="inlineStr">
        <is>
          <t>OCTUBRE</t>
        </is>
      </c>
      <c r="B69" s="156" t="n"/>
      <c r="C69" s="156" t="n"/>
      <c r="D69" s="156" t="n"/>
      <c r="E69" s="156" t="n"/>
      <c r="F69" s="156" t="n"/>
      <c r="G69" s="156" t="n"/>
      <c r="H69" s="156" t="n"/>
      <c r="I69" s="156" t="n"/>
      <c r="J69" s="156" t="n"/>
      <c r="K69" s="156" t="n"/>
      <c r="L69" s="156" t="n"/>
      <c r="M69" s="156" t="n"/>
      <c r="N69" s="156" t="n"/>
      <c r="O69" s="156" t="n"/>
      <c r="P69" s="156" t="n"/>
      <c r="Q69" s="156" t="n"/>
      <c r="R69" s="156" t="n"/>
      <c r="S69" s="156" t="n"/>
      <c r="T69" s="156" t="n"/>
      <c r="U69" s="156" t="n"/>
      <c r="V69" s="156" t="n"/>
      <c r="W69" s="156" t="n"/>
      <c r="X69" s="156" t="n"/>
      <c r="Y69" s="156" t="n"/>
      <c r="Z69" s="156" t="n"/>
      <c r="AA69" s="156" t="n"/>
      <c r="AB69" s="156" t="n"/>
      <c r="AC69" s="156" t="n"/>
      <c r="AD69" s="156" t="n"/>
      <c r="AE69" s="156" t="n"/>
      <c r="AF69" s="156" t="n"/>
      <c r="AG69" s="156" t="n"/>
      <c r="AH69" s="156" t="n"/>
      <c r="AI69" s="142" t="n"/>
      <c r="AJ69" s="524" t="inlineStr">
        <is>
          <t>20 DIES</t>
        </is>
      </c>
    </row>
    <row r="70" ht="64.5" customHeight="1" s="757">
      <c r="A70" s="7" t="inlineStr">
        <is>
          <t>AULA</t>
        </is>
      </c>
      <c r="B70" s="8" t="inlineStr">
        <is>
          <t>INICI</t>
        </is>
      </c>
      <c r="C70" s="8" t="inlineStr">
        <is>
          <t>FINAL</t>
        </is>
      </c>
      <c r="D70" s="8" t="inlineStr">
        <is>
          <t>AULA</t>
        </is>
      </c>
      <c r="E70" s="9" t="n">
        <v>45200</v>
      </c>
      <c r="F70" s="9" t="n">
        <v>45201</v>
      </c>
      <c r="G70" s="9" t="n">
        <v>45202</v>
      </c>
      <c r="H70" s="9" t="n">
        <v>45203</v>
      </c>
      <c r="I70" s="9" t="n">
        <v>45204</v>
      </c>
      <c r="J70" s="9" t="n">
        <v>45205</v>
      </c>
      <c r="K70" s="9" t="n">
        <v>45206</v>
      </c>
      <c r="L70" s="9" t="n">
        <v>45207</v>
      </c>
      <c r="M70" s="9" t="n">
        <v>45208</v>
      </c>
      <c r="N70" s="9" t="n">
        <v>45209</v>
      </c>
      <c r="O70" s="9" t="n">
        <v>45210</v>
      </c>
      <c r="P70" s="9" t="n">
        <v>45211</v>
      </c>
      <c r="Q70" s="9" t="n">
        <v>45212</v>
      </c>
      <c r="R70" s="9" t="n">
        <v>45213</v>
      </c>
      <c r="S70" s="9" t="n">
        <v>45214</v>
      </c>
      <c r="T70" s="9" t="n">
        <v>45215</v>
      </c>
      <c r="U70" s="9" t="n">
        <v>45216</v>
      </c>
      <c r="V70" s="9" t="n">
        <v>45217</v>
      </c>
      <c r="W70" s="9" t="n">
        <v>45218</v>
      </c>
      <c r="X70" s="9" t="n">
        <v>45219</v>
      </c>
      <c r="Y70" s="9" t="n">
        <v>45220</v>
      </c>
      <c r="Z70" s="9" t="n">
        <v>45221</v>
      </c>
      <c r="AA70" s="9" t="n">
        <v>45222</v>
      </c>
      <c r="AB70" s="9" t="n">
        <v>45223</v>
      </c>
      <c r="AC70" s="9" t="n">
        <v>45224</v>
      </c>
      <c r="AD70" s="9" t="n">
        <v>45225</v>
      </c>
      <c r="AE70" s="9" t="n">
        <v>45226</v>
      </c>
      <c r="AF70" s="9" t="n">
        <v>44985</v>
      </c>
      <c r="AG70" s="9" t="n">
        <v>45228</v>
      </c>
      <c r="AH70" s="9" t="n">
        <v>45229</v>
      </c>
      <c r="AI70" s="9" t="n">
        <v>45230</v>
      </c>
      <c r="AJ70" s="4" t="n"/>
    </row>
    <row r="71" ht="15.75" customHeight="1" s="757">
      <c r="A71" s="10" t="inlineStr">
        <is>
          <t>GOOGLE MATINS</t>
        </is>
      </c>
      <c r="B71" s="11" t="n"/>
      <c r="C71" s="11" t="n"/>
      <c r="D71" s="12" t="n"/>
      <c r="E71" s="24" t="n"/>
      <c r="F71" s="30" t="n"/>
      <c r="G71" s="213" t="n"/>
      <c r="H71" s="212" t="n"/>
      <c r="I71" s="30" t="n"/>
      <c r="J71" s="30" t="n"/>
      <c r="K71" s="24" t="n"/>
      <c r="L71" s="24" t="n"/>
      <c r="M71" s="30" t="n"/>
      <c r="N71" s="30" t="n"/>
      <c r="O71" s="30" t="n"/>
      <c r="P71" s="26" t="n"/>
      <c r="Q71" s="26" t="n"/>
      <c r="R71" s="24" t="n"/>
      <c r="S71" s="24" t="n"/>
      <c r="T71" s="214" t="n"/>
      <c r="U71" s="30" t="n"/>
      <c r="V71" s="250" t="n"/>
      <c r="W71" s="212" t="n"/>
      <c r="X71" s="30" t="n"/>
      <c r="Y71" s="24" t="n"/>
      <c r="Z71" s="24" t="n"/>
      <c r="AA71" s="30" t="n"/>
      <c r="AB71" s="30" t="n"/>
      <c r="AC71" s="30" t="n"/>
      <c r="AD71" s="214" t="n"/>
      <c r="AE71" s="30" t="n"/>
      <c r="AF71" s="24" t="n"/>
      <c r="AG71" s="24" t="n"/>
      <c r="AH71" s="250" t="n"/>
      <c r="AI71" s="212" t="n"/>
      <c r="AJ71" s="4" t="n">
        <v>20</v>
      </c>
      <c r="AL71" s="723" t="inlineStr">
        <is>
          <t>ADGG0208</t>
        </is>
      </c>
    </row>
    <row r="72" ht="16.5" customHeight="1" s="757" thickBot="1">
      <c r="A72" s="14" t="inlineStr">
        <is>
          <t>FIREFOX MATINS</t>
        </is>
      </c>
      <c r="B72" s="15" t="n"/>
      <c r="C72" s="15" t="n"/>
      <c r="D72" s="15" t="n"/>
      <c r="E72" s="35" t="n"/>
      <c r="F72" s="778" t="n"/>
      <c r="G72" s="778" t="n"/>
      <c r="H72" s="778" t="n"/>
      <c r="I72" s="778" t="n"/>
      <c r="J72" s="778" t="n"/>
      <c r="K72" s="35" t="n"/>
      <c r="L72" s="35" t="n"/>
      <c r="M72" s="778" t="n"/>
      <c r="N72" s="778" t="n"/>
      <c r="O72" s="778" t="n"/>
      <c r="P72" s="27" t="n"/>
      <c r="Q72" s="27" t="n"/>
      <c r="R72" s="35" t="n"/>
      <c r="S72" s="35" t="n"/>
      <c r="T72" s="778" t="n"/>
      <c r="U72" s="778" t="n"/>
      <c r="V72" s="778" t="n"/>
      <c r="W72" s="778" t="n"/>
      <c r="X72" s="778" t="n"/>
      <c r="Y72" s="35" t="n"/>
      <c r="Z72" s="35" t="n"/>
      <c r="AA72" s="778" t="n"/>
      <c r="AB72" s="778" t="n"/>
      <c r="AC72" s="778" t="n"/>
      <c r="AD72" s="778" t="n"/>
      <c r="AE72" s="778" t="n"/>
      <c r="AF72" s="35" t="n"/>
      <c r="AG72" s="35" t="n"/>
      <c r="AH72" s="778" t="n"/>
      <c r="AI72" s="778" t="n"/>
      <c r="AJ72" s="4" t="n"/>
      <c r="AR72" s="668" t="n"/>
    </row>
    <row r="73" ht="15.75" customHeight="1" s="757">
      <c r="A73" s="17" t="inlineStr">
        <is>
          <t>GOOGLE TARDA</t>
        </is>
      </c>
      <c r="B73" s="18" t="n"/>
      <c r="C73" s="18" t="n"/>
      <c r="D73" s="18" t="n"/>
      <c r="E73" s="39" t="n"/>
      <c r="F73" s="755" t="n"/>
      <c r="G73" s="755" t="n"/>
      <c r="H73" s="40" t="n"/>
      <c r="I73" s="40" t="n"/>
      <c r="J73" s="40" t="n"/>
      <c r="K73" s="39" t="n"/>
      <c r="L73" s="39" t="n"/>
      <c r="M73" s="755" t="n"/>
      <c r="N73" s="755" t="n"/>
      <c r="O73" s="755" t="n"/>
      <c r="P73" s="28" t="n"/>
      <c r="Q73" s="28" t="n"/>
      <c r="R73" s="39" t="n"/>
      <c r="S73" s="39" t="n"/>
      <c r="T73" s="755" t="n"/>
      <c r="U73" s="756" t="n"/>
      <c r="V73" s="756" t="n"/>
      <c r="W73" s="756" t="n"/>
      <c r="X73" s="756" t="n"/>
      <c r="Y73" s="39" t="n"/>
      <c r="Z73" s="39" t="n"/>
      <c r="AA73" s="755" t="n"/>
      <c r="AB73" s="756" t="n"/>
      <c r="AC73" s="756" t="n"/>
      <c r="AD73" s="756" t="n"/>
      <c r="AE73" s="756" t="n"/>
      <c r="AF73" s="39" t="n"/>
      <c r="AG73" s="39" t="n"/>
      <c r="AH73" s="755" t="n"/>
      <c r="AI73" s="755" t="n"/>
      <c r="AJ73" s="4" t="n"/>
    </row>
    <row r="74" ht="15.75" customHeight="1" s="757">
      <c r="A74" s="10" t="inlineStr">
        <is>
          <t>FIREFOX TARDA</t>
        </is>
      </c>
      <c r="B74" s="11" t="n"/>
      <c r="C74" s="11" t="n"/>
      <c r="D74" s="12" t="n"/>
      <c r="E74" s="24" t="n"/>
      <c r="F74" s="756" t="n"/>
      <c r="G74" s="756" t="n"/>
      <c r="H74" s="756" t="n"/>
      <c r="I74" s="756" t="n"/>
      <c r="J74" s="756" t="n"/>
      <c r="K74" s="24" t="n"/>
      <c r="L74" s="24" t="n"/>
      <c r="M74" s="51" t="inlineStr">
        <is>
          <t>R-VAM</t>
        </is>
      </c>
      <c r="N74" s="756" t="n"/>
      <c r="O74" s="756" t="n"/>
      <c r="P74" s="26" t="n"/>
      <c r="Q74" s="26" t="n"/>
      <c r="R74" s="24" t="n"/>
      <c r="S74" s="24" t="n"/>
      <c r="U74" s="756" t="n"/>
      <c r="W74" s="756" t="n"/>
      <c r="X74" s="756" t="n"/>
      <c r="Y74" s="24" t="n"/>
      <c r="Z74" s="24" t="n"/>
      <c r="AB74" s="756" t="n"/>
      <c r="AD74" s="756" t="n"/>
      <c r="AE74" s="756" t="n"/>
      <c r="AF74" s="24" t="n"/>
      <c r="AG74" s="24" t="n"/>
      <c r="AH74" s="271" t="n"/>
      <c r="AI74" s="271" t="n"/>
      <c r="AJ74" s="4" t="n"/>
      <c r="AL74" s="51" t="inlineStr">
        <is>
          <t>VAM</t>
        </is>
      </c>
      <c r="AN74" s="731" t="inlineStr">
        <is>
          <t>CURS acTIc</t>
        </is>
      </c>
    </row>
    <row r="75" ht="15.75" customHeight="1" s="757">
      <c r="A75" s="10" t="inlineStr">
        <is>
          <t>TARRAGONA MATI</t>
        </is>
      </c>
      <c r="B75" s="11" t="n"/>
      <c r="C75" s="11" t="n"/>
      <c r="D75" s="12" t="n"/>
      <c r="E75" s="24" t="n"/>
      <c r="F75" s="756" t="n"/>
      <c r="G75" s="756" t="n"/>
      <c r="H75" s="756" t="n"/>
      <c r="I75" s="756" t="n"/>
      <c r="J75" s="756" t="n"/>
      <c r="K75" s="24" t="n"/>
      <c r="L75" s="24" t="n"/>
      <c r="M75" s="756" t="n"/>
      <c r="N75" s="756" t="n"/>
      <c r="O75" s="756" t="n"/>
      <c r="P75" s="26" t="n"/>
      <c r="Q75" s="26" t="n"/>
      <c r="R75" s="24" t="n"/>
      <c r="S75" s="24" t="n"/>
      <c r="T75" s="21" t="n"/>
      <c r="U75" s="756" t="n"/>
      <c r="V75" s="21" t="n"/>
      <c r="W75" s="756" t="n"/>
      <c r="X75" s="756" t="n"/>
      <c r="Y75" s="24" t="n"/>
      <c r="Z75" s="24" t="n"/>
      <c r="AA75" s="21" t="n"/>
      <c r="AB75" s="756" t="n"/>
      <c r="AC75" s="21" t="n"/>
      <c r="AD75" s="756" t="n"/>
      <c r="AE75" s="756" t="n"/>
      <c r="AF75" s="24" t="n"/>
      <c r="AG75" s="24" t="n"/>
      <c r="AH75" s="21" t="n"/>
      <c r="AI75" s="756" t="n"/>
      <c r="AJ75" s="4" t="n"/>
      <c r="AK75" s="732" t="inlineStr">
        <is>
          <t>EAPC</t>
        </is>
      </c>
      <c r="AQ75" s="99" t="n"/>
    </row>
    <row r="76" ht="19.5" customHeight="1" s="757" thickBot="1">
      <c r="A76" s="788" t="inlineStr">
        <is>
          <t>NOVEMBRE</t>
        </is>
      </c>
      <c r="B76" s="156" t="n"/>
      <c r="C76" s="156" t="n"/>
      <c r="D76" s="156" t="n"/>
      <c r="E76" s="156" t="n"/>
      <c r="F76" s="156" t="n"/>
      <c r="G76" s="156" t="n"/>
      <c r="H76" s="156" t="n"/>
      <c r="I76" s="156" t="n"/>
      <c r="J76" s="156" t="n"/>
      <c r="K76" s="156" t="n"/>
      <c r="L76" s="156" t="n"/>
      <c r="M76" s="156" t="n"/>
      <c r="N76" s="156" t="n"/>
      <c r="O76" s="156" t="n"/>
      <c r="P76" s="156" t="n"/>
      <c r="Q76" s="156" t="n"/>
      <c r="R76" s="156" t="n"/>
      <c r="S76" s="156" t="n"/>
      <c r="T76" s="156" t="n"/>
      <c r="U76" s="156" t="n"/>
      <c r="V76" s="156" t="n"/>
      <c r="W76" s="156" t="n"/>
      <c r="X76" s="156" t="n"/>
      <c r="Y76" s="156" t="n"/>
      <c r="Z76" s="156" t="n"/>
      <c r="AA76" s="156" t="n"/>
      <c r="AB76" s="156" t="n"/>
      <c r="AC76" s="156" t="n"/>
      <c r="AD76" s="156" t="n"/>
      <c r="AE76" s="156" t="n"/>
      <c r="AF76" s="156" t="n"/>
      <c r="AG76" s="156" t="n"/>
      <c r="AH76" s="156" t="n"/>
      <c r="AI76" s="142" t="n"/>
      <c r="AJ76" s="524" t="inlineStr">
        <is>
          <t>21 DIES</t>
        </is>
      </c>
    </row>
    <row r="77" ht="60.75" customHeight="1" s="757">
      <c r="A77" s="7" t="inlineStr">
        <is>
          <t>AULA</t>
        </is>
      </c>
      <c r="B77" s="8" t="inlineStr">
        <is>
          <t>INICI</t>
        </is>
      </c>
      <c r="C77" s="8" t="inlineStr">
        <is>
          <t>FINAL</t>
        </is>
      </c>
      <c r="D77" s="8" t="inlineStr">
        <is>
          <t>AULA</t>
        </is>
      </c>
      <c r="E77" s="9" t="n">
        <v>45231</v>
      </c>
      <c r="F77" s="9" t="n">
        <v>45232</v>
      </c>
      <c r="G77" s="9" t="n">
        <v>45233</v>
      </c>
      <c r="H77" s="9" t="n">
        <v>45234</v>
      </c>
      <c r="I77" s="9" t="n">
        <v>45235</v>
      </c>
      <c r="J77" s="9" t="n">
        <v>45236</v>
      </c>
      <c r="K77" s="9" t="n">
        <v>45237</v>
      </c>
      <c r="L77" s="9" t="n">
        <v>45238</v>
      </c>
      <c r="M77" s="9" t="n">
        <v>45239</v>
      </c>
      <c r="N77" s="9" t="n">
        <v>45240</v>
      </c>
      <c r="O77" s="9" t="n">
        <v>45241</v>
      </c>
      <c r="P77" s="9" t="n">
        <v>45242</v>
      </c>
      <c r="Q77" s="9" t="n">
        <v>45243</v>
      </c>
      <c r="R77" s="9" t="n">
        <v>45244</v>
      </c>
      <c r="S77" s="9" t="n">
        <v>45245</v>
      </c>
      <c r="T77" s="9" t="n">
        <v>45246</v>
      </c>
      <c r="U77" s="9" t="n">
        <v>45247</v>
      </c>
      <c r="V77" s="9" t="n">
        <v>45248</v>
      </c>
      <c r="W77" s="9" t="n">
        <v>45249</v>
      </c>
      <c r="X77" s="9" t="n">
        <v>45250</v>
      </c>
      <c r="Y77" s="9" t="n">
        <v>45251</v>
      </c>
      <c r="Z77" s="9" t="n">
        <v>45252</v>
      </c>
      <c r="AA77" s="9" t="n">
        <v>45253</v>
      </c>
      <c r="AB77" s="9" t="n">
        <v>45254</v>
      </c>
      <c r="AC77" s="9" t="n">
        <v>45255</v>
      </c>
      <c r="AD77" s="9" t="n">
        <v>45256</v>
      </c>
      <c r="AE77" s="9" t="n">
        <v>45257</v>
      </c>
      <c r="AF77" s="9" t="inlineStr">
        <is>
          <t>28/11/20223</t>
        </is>
      </c>
      <c r="AG77" s="9" t="n">
        <v>45259</v>
      </c>
      <c r="AH77" s="9" t="n">
        <v>45260</v>
      </c>
      <c r="AI77" s="9" t="n"/>
      <c r="AJ77" s="4" t="n"/>
    </row>
    <row r="78" ht="15.75" customHeight="1" s="757">
      <c r="A78" s="10" t="inlineStr">
        <is>
          <t>GOOGLE MATINS</t>
        </is>
      </c>
      <c r="B78" s="11" t="n"/>
      <c r="C78" s="11" t="n"/>
      <c r="D78" s="12" t="n"/>
      <c r="E78" s="26" t="n"/>
      <c r="F78" s="214" t="n"/>
      <c r="G78" s="212" t="n"/>
      <c r="H78" s="24" t="n"/>
      <c r="I78" s="24" t="n"/>
      <c r="J78" s="30" t="n"/>
      <c r="K78" s="213" t="n"/>
      <c r="L78" s="215" t="n"/>
      <c r="M78" s="206" t="n"/>
      <c r="N78" s="216" t="n"/>
      <c r="O78" s="24" t="n"/>
      <c r="P78" s="24" t="n"/>
      <c r="Q78" s="142" t="n"/>
      <c r="R78" s="142" t="n"/>
      <c r="S78" s="756" t="n"/>
      <c r="T78" s="756" t="n"/>
      <c r="U78" s="756" t="n"/>
      <c r="V78" s="756" t="n"/>
      <c r="W78" s="163" t="n"/>
      <c r="X78" s="281" t="n">
        <v>1</v>
      </c>
      <c r="Y78" s="782" t="inlineStr">
        <is>
          <t>PERE</t>
        </is>
      </c>
      <c r="Z78" s="281" t="n"/>
      <c r="AA78" s="281" t="n"/>
      <c r="AB78" s="281" t="n"/>
      <c r="AC78" s="119" t="n"/>
      <c r="AD78" s="119" t="n"/>
      <c r="AE78" s="281" t="n"/>
      <c r="AF78" s="281" t="n"/>
      <c r="AG78" s="281" t="n"/>
      <c r="AH78" s="281" t="n"/>
      <c r="AI78" s="782" t="n"/>
      <c r="AJ78" s="4" t="n">
        <v>10</v>
      </c>
      <c r="AL78" s="723" t="inlineStr">
        <is>
          <t>ADGG0208</t>
        </is>
      </c>
      <c r="AP78" s="646" t="inlineStr">
        <is>
          <t>previsió foap</t>
        </is>
      </c>
      <c r="AS78" s="540" t="n"/>
      <c r="AT78" s="255" t="inlineStr">
        <is>
          <t>INSERSIO LABORAL</t>
        </is>
      </c>
    </row>
    <row r="79" ht="16.5" customHeight="1" s="757" thickBot="1">
      <c r="A79" s="14" t="inlineStr">
        <is>
          <t>FIREFOX MATINS</t>
        </is>
      </c>
      <c r="B79" s="15" t="n"/>
      <c r="C79" s="15" t="n"/>
      <c r="D79" s="15" t="n"/>
      <c r="E79" s="27" t="n"/>
      <c r="F79" s="778" t="n"/>
      <c r="G79" s="278" t="n"/>
      <c r="H79" s="35" t="n"/>
      <c r="I79" s="35" t="n"/>
      <c r="J79" s="778" t="n"/>
      <c r="K79" s="778" t="n"/>
      <c r="L79" s="143" t="n"/>
      <c r="M79" s="778" t="n"/>
      <c r="N79" s="778" t="n"/>
      <c r="O79" s="35" t="n"/>
      <c r="P79" s="35" t="n"/>
      <c r="Q79" s="143" t="n"/>
      <c r="R79" s="778" t="n"/>
      <c r="S79" s="778" t="n"/>
      <c r="T79" s="778" t="n"/>
      <c r="U79" s="778" t="n"/>
      <c r="V79" s="35" t="n"/>
      <c r="W79" s="280" t="n"/>
      <c r="X79" s="271" t="n"/>
      <c r="Y79" s="782" t="n"/>
      <c r="Z79" s="130" t="n"/>
      <c r="AA79" s="130" t="n"/>
      <c r="AB79" s="130" t="n"/>
      <c r="AC79" s="126" t="n"/>
      <c r="AD79" s="126" t="n"/>
      <c r="AE79" s="130" t="n"/>
      <c r="AF79" s="130" t="n"/>
      <c r="AG79" s="130" t="n"/>
      <c r="AH79" s="130" t="n"/>
      <c r="AI79" s="130" t="n"/>
      <c r="AJ79" s="4" t="n"/>
      <c r="AK79" s="668" t="n"/>
      <c r="AL79" t="inlineStr">
        <is>
          <t>1- FCOI18 (OFFICE365)</t>
        </is>
      </c>
      <c r="AP79" s="277" t="inlineStr">
        <is>
          <t>EXAMEN ACTIC AVANÇAT ANA ROSA FDEZ RGUEZ  10:00H</t>
        </is>
      </c>
      <c r="AQ79" s="702" t="n"/>
      <c r="AR79" s="702" t="n"/>
      <c r="AS79" s="61" t="n"/>
      <c r="AU79" s="668" t="n"/>
    </row>
    <row r="80" ht="16.5" customHeight="1" s="757" thickTop="1">
      <c r="A80" s="17" t="inlineStr">
        <is>
          <t>GOOGLE TARDA</t>
        </is>
      </c>
      <c r="B80" s="18" t="n"/>
      <c r="C80" s="18" t="n"/>
      <c r="D80" s="18" t="n"/>
      <c r="E80" s="28" t="n"/>
      <c r="F80" s="755" t="n"/>
      <c r="G80" s="755" t="n"/>
      <c r="H80" s="36" t="n"/>
      <c r="I80" s="36" t="n"/>
      <c r="J80" s="144" t="n"/>
      <c r="K80" s="144" t="n"/>
      <c r="L80" s="123" t="n"/>
      <c r="M80" s="755" t="n"/>
      <c r="N80" s="755" t="n"/>
      <c r="O80" s="36" t="n"/>
      <c r="P80" s="36" t="n"/>
      <c r="Q80" s="144" t="n"/>
      <c r="R80" s="755" t="n"/>
      <c r="S80" s="755" t="n"/>
      <c r="T80" s="755" t="n"/>
      <c r="U80" s="755" t="n"/>
      <c r="V80" s="36" t="n"/>
      <c r="W80" s="36" t="n"/>
      <c r="X80" s="282" t="n"/>
      <c r="Y80" s="756" t="n"/>
      <c r="Z80" s="755" t="n"/>
      <c r="AA80" s="755" t="n"/>
      <c r="AB80" s="755" t="n"/>
      <c r="AC80" s="36" t="n"/>
      <c r="AD80" s="36" t="n"/>
      <c r="AF80" s="48" t="n">
        <v>2</v>
      </c>
      <c r="AG80" s="56" t="inlineStr">
        <is>
          <t>M.A. FENOY</t>
        </is>
      </c>
      <c r="AH80" s="48" t="n"/>
      <c r="AI80" s="755" t="n"/>
      <c r="AJ80" s="4" t="n"/>
      <c r="AL80" s="682" t="inlineStr">
        <is>
          <t>2- ADGD56 (WHATS--TELÈFON) 1ª EDICIÓ</t>
        </is>
      </c>
    </row>
    <row r="81" ht="15.75" customHeight="1" s="757">
      <c r="A81" s="10" t="inlineStr">
        <is>
          <t>FIREFOX TARDA</t>
        </is>
      </c>
      <c r="B81" s="11" t="n"/>
      <c r="C81" s="11" t="n"/>
      <c r="D81" s="12" t="n"/>
      <c r="E81" s="26" t="n"/>
      <c r="F81" s="271" t="n"/>
      <c r="G81" s="271" t="n"/>
      <c r="H81" s="24" t="n"/>
      <c r="I81" s="24" t="n"/>
      <c r="J81" s="756" t="n"/>
      <c r="K81" s="756" t="n"/>
      <c r="L81" s="142" t="n"/>
      <c r="M81" s="756" t="n"/>
      <c r="N81" s="756" t="n"/>
      <c r="O81" s="24" t="n"/>
      <c r="P81" s="24" t="n"/>
      <c r="Q81" s="756" t="n"/>
      <c r="R81" s="756" t="n"/>
      <c r="S81" s="756" t="n"/>
      <c r="T81" s="756" t="n"/>
      <c r="U81" s="756" t="n"/>
      <c r="V81" s="24" t="n"/>
      <c r="W81" s="24" t="n"/>
      <c r="X81" s="756" t="n"/>
      <c r="Y81" s="755" t="n"/>
      <c r="Z81" s="756" t="n"/>
      <c r="AA81" s="756" t="n"/>
      <c r="AB81" s="756" t="n"/>
      <c r="AC81" s="24" t="n"/>
      <c r="AD81" s="24" t="n"/>
      <c r="AE81" s="756" t="n"/>
      <c r="AF81" s="756" t="n"/>
      <c r="AG81" s="756" t="n"/>
      <c r="AH81" s="756" t="n"/>
      <c r="AI81" s="756" t="n"/>
      <c r="AJ81" s="4" t="n"/>
      <c r="AL81" s="734" t="inlineStr">
        <is>
          <t>Examen acTIC EAPC</t>
        </is>
      </c>
    </row>
    <row r="82" ht="15.75" customHeight="1" s="757">
      <c r="A82" s="10" t="inlineStr">
        <is>
          <t>TARRAGONA MATI</t>
        </is>
      </c>
      <c r="B82" s="11" t="n"/>
      <c r="C82" s="11" t="n"/>
      <c r="D82" s="12" t="n"/>
      <c r="E82" s="26" t="n"/>
      <c r="F82" s="756" t="n"/>
      <c r="G82" s="756" t="n"/>
      <c r="H82" s="24" t="n"/>
      <c r="I82" s="24" t="n"/>
      <c r="J82" s="21" t="n"/>
      <c r="K82" s="756" t="n"/>
      <c r="L82" s="62" t="n"/>
      <c r="M82" s="756" t="n"/>
      <c r="N82" s="756" t="n"/>
      <c r="O82" s="24" t="n"/>
      <c r="P82" s="24" t="n"/>
      <c r="Q82" s="151" t="n"/>
      <c r="S82" s="62" t="n"/>
      <c r="T82" s="782" t="n"/>
      <c r="V82" s="24" t="n"/>
      <c r="W82" s="24" t="n"/>
      <c r="X82" s="151" t="n"/>
      <c r="Y82" s="756" t="n"/>
      <c r="Z82" s="756" t="n"/>
      <c r="AA82" s="756" t="n"/>
      <c r="AB82" s="271" t="n"/>
      <c r="AC82" s="24" t="n"/>
      <c r="AD82" s="24" t="n"/>
      <c r="AE82" s="756" t="n"/>
      <c r="AF82" s="21" t="n"/>
      <c r="AG82" s="756" t="n"/>
      <c r="AH82" s="271" t="n"/>
      <c r="AI82" s="756" t="n"/>
      <c r="AJ82" s="4" t="n"/>
      <c r="AK82" s="724" t="inlineStr">
        <is>
          <t>EAPC</t>
        </is>
      </c>
      <c r="AQ82" s="271" t="inlineStr">
        <is>
          <t>examen acTIC</t>
        </is>
      </c>
      <c r="AR82" s="271" t="n"/>
      <c r="AS82" s="271" t="n"/>
    </row>
    <row r="83" ht="15.75" customHeight="1" s="757">
      <c r="A83" s="25" t="inlineStr">
        <is>
          <t>online - EAPC</t>
        </is>
      </c>
      <c r="B83" s="11" t="n"/>
      <c r="C83" s="11" t="n"/>
      <c r="D83" s="12" t="n"/>
      <c r="E83" s="26" t="n"/>
      <c r="F83" s="756" t="n"/>
      <c r="G83" s="756" t="n"/>
      <c r="H83" s="24" t="n"/>
      <c r="I83" s="24" t="n"/>
      <c r="J83" s="756" t="n"/>
      <c r="K83" s="756" t="n"/>
      <c r="M83" s="756" t="n"/>
      <c r="N83" s="756" t="n"/>
      <c r="O83" s="24" t="n"/>
      <c r="P83" s="24" t="n"/>
      <c r="Q83" s="756" t="n"/>
      <c r="R83" s="756" t="n"/>
      <c r="S83" s="756" t="n"/>
      <c r="T83" s="756" t="n"/>
      <c r="U83" s="756" t="n"/>
      <c r="V83" s="24" t="n"/>
      <c r="W83" s="24" t="n"/>
      <c r="X83" s="756" t="n"/>
      <c r="AA83" s="756" t="n"/>
      <c r="AB83" s="756" t="n"/>
      <c r="AC83" s="24" t="n"/>
      <c r="AD83" s="24" t="n"/>
      <c r="AE83" s="756" t="n"/>
      <c r="AF83" s="756" t="n"/>
      <c r="AG83" s="756" t="n"/>
      <c r="AH83" s="756" t="n"/>
      <c r="AI83" s="756" t="n"/>
      <c r="AJ83" s="4" t="n"/>
    </row>
    <row r="84" ht="19.5" customHeight="1" s="757" thickBot="1">
      <c r="A84" s="788" t="inlineStr">
        <is>
          <t>DESEMBRE</t>
        </is>
      </c>
      <c r="B84" s="156" t="n"/>
      <c r="C84" s="156" t="n"/>
      <c r="D84" s="156" t="n"/>
      <c r="E84" s="156" t="n"/>
      <c r="F84" s="156" t="n"/>
      <c r="G84" s="156" t="n"/>
      <c r="H84" s="156" t="n"/>
      <c r="I84" s="156" t="n"/>
      <c r="J84" s="156" t="n"/>
      <c r="K84" s="156" t="n"/>
      <c r="L84" s="156" t="n"/>
      <c r="M84" s="156" t="n"/>
      <c r="N84" s="156" t="n"/>
      <c r="O84" s="156" t="n"/>
      <c r="P84" s="156" t="n"/>
      <c r="Q84" s="156" t="n"/>
      <c r="R84" s="156" t="n"/>
      <c r="S84" s="156" t="n"/>
      <c r="T84" s="156" t="n"/>
      <c r="U84" s="156" t="n"/>
      <c r="V84" s="156" t="n"/>
      <c r="W84" s="156" t="n"/>
      <c r="X84" s="156" t="n"/>
      <c r="Y84" s="156" t="n"/>
      <c r="Z84" s="156" t="n"/>
      <c r="AA84" s="156" t="n"/>
      <c r="AB84" s="156" t="n"/>
      <c r="AC84" s="156" t="n"/>
      <c r="AD84" s="156" t="n"/>
      <c r="AE84" s="156" t="n"/>
      <c r="AF84" s="156" t="n"/>
      <c r="AG84" s="156" t="n"/>
      <c r="AH84" s="156" t="n"/>
      <c r="AI84" s="142" t="n"/>
      <c r="AJ84" s="524" t="inlineStr">
        <is>
          <t>12 DIES</t>
        </is>
      </c>
    </row>
    <row r="85" ht="68.25" customHeight="1" s="757">
      <c r="A85" s="7" t="inlineStr">
        <is>
          <t>AULA</t>
        </is>
      </c>
      <c r="B85" s="8" t="inlineStr">
        <is>
          <t>INICI</t>
        </is>
      </c>
      <c r="C85" s="8" t="inlineStr">
        <is>
          <t>FINAL</t>
        </is>
      </c>
      <c r="D85" s="8" t="inlineStr">
        <is>
          <t>AULA</t>
        </is>
      </c>
      <c r="E85" s="9" t="n">
        <v>45261</v>
      </c>
      <c r="F85" s="9" t="n">
        <v>45262</v>
      </c>
      <c r="G85" s="9" t="n">
        <v>45263</v>
      </c>
      <c r="H85" s="9" t="n">
        <v>45264</v>
      </c>
      <c r="I85" s="9" t="n">
        <v>45265</v>
      </c>
      <c r="J85" s="9" t="n">
        <v>45266</v>
      </c>
      <c r="K85" s="9" t="n">
        <v>45267</v>
      </c>
      <c r="L85" s="9" t="n">
        <v>45268</v>
      </c>
      <c r="M85" s="9" t="n">
        <v>45269</v>
      </c>
      <c r="N85" s="9" t="n">
        <v>45270</v>
      </c>
      <c r="O85" s="9" t="n">
        <v>45271</v>
      </c>
      <c r="P85" s="9" t="n">
        <v>45272</v>
      </c>
      <c r="Q85" s="9" t="n">
        <v>45273</v>
      </c>
      <c r="R85" s="9" t="n">
        <v>45274</v>
      </c>
      <c r="S85" s="9" t="n">
        <v>45275</v>
      </c>
      <c r="T85" s="9" t="n">
        <v>45276</v>
      </c>
      <c r="U85" s="9" t="n">
        <v>45277</v>
      </c>
      <c r="V85" s="9" t="n">
        <v>45278</v>
      </c>
      <c r="W85" s="9" t="n">
        <v>45279</v>
      </c>
      <c r="X85" s="9" t="n">
        <v>45280</v>
      </c>
      <c r="Y85" s="9" t="n">
        <v>45281</v>
      </c>
      <c r="Z85" s="9" t="n">
        <v>45282</v>
      </c>
      <c r="AA85" s="9" t="n">
        <v>45283</v>
      </c>
      <c r="AB85" s="9" t="n">
        <v>45284</v>
      </c>
      <c r="AC85" s="9" t="n">
        <v>45285</v>
      </c>
      <c r="AD85" s="9" t="n">
        <v>45286</v>
      </c>
      <c r="AE85" s="9" t="n">
        <v>45287</v>
      </c>
      <c r="AF85" s="9" t="n">
        <v>45288</v>
      </c>
      <c r="AG85" s="9" t="n">
        <v>45289</v>
      </c>
      <c r="AH85" s="9" t="n">
        <v>45290</v>
      </c>
      <c r="AI85" s="9" t="n">
        <v>45291</v>
      </c>
      <c r="AJ85" s="4" t="n"/>
    </row>
    <row r="86" ht="15.75" customHeight="1" s="757">
      <c r="A86" s="10" t="inlineStr">
        <is>
          <t>GOOGLE MATINS</t>
        </is>
      </c>
      <c r="B86" s="11" t="n"/>
      <c r="C86" s="11" t="n"/>
      <c r="D86" s="12" t="n"/>
      <c r="E86" s="23" t="n"/>
      <c r="F86" s="24" t="n"/>
      <c r="G86" s="24" t="n"/>
      <c r="H86" s="756" t="n"/>
      <c r="I86" s="58" t="inlineStr">
        <is>
          <t>3 - PERE</t>
        </is>
      </c>
      <c r="J86" s="26" t="n"/>
      <c r="K86" s="26" t="n"/>
      <c r="L86" s="26" t="n"/>
      <c r="M86" s="24" t="n"/>
      <c r="N86" s="24" t="n"/>
      <c r="O86" s="42" t="n"/>
      <c r="P86" s="42" t="n"/>
      <c r="Q86" s="42" t="n"/>
      <c r="R86" s="42" t="n"/>
      <c r="S86" s="42" t="n"/>
      <c r="T86" s="24" t="n"/>
      <c r="U86" s="24" t="n"/>
      <c r="V86" s="42" t="n"/>
      <c r="W86" s="42" t="n"/>
      <c r="X86" s="793" t="inlineStr">
        <is>
          <t>NO FORMACIO</t>
        </is>
      </c>
      <c r="Y86" s="794" t="n"/>
      <c r="Z86" s="147" t="n"/>
      <c r="AA86" s="24" t="n"/>
      <c r="AB86" s="24" t="n"/>
      <c r="AC86" s="26" t="n"/>
      <c r="AD86" s="26" t="n"/>
      <c r="AE86" s="147" t="n"/>
      <c r="AF86" s="147" t="n"/>
      <c r="AG86" s="147" t="n"/>
      <c r="AH86" s="24" t="n"/>
      <c r="AI86" s="24" t="n"/>
      <c r="AJ86" s="4" t="n"/>
      <c r="AL86" s="646" t="inlineStr">
        <is>
          <t>previsió foap</t>
        </is>
      </c>
      <c r="AO86" s="183" t="n"/>
    </row>
    <row r="87" ht="16.5" customHeight="1" s="757" thickBot="1">
      <c r="A87" s="14" t="inlineStr">
        <is>
          <t>FIREFOX MATINS</t>
        </is>
      </c>
      <c r="B87" s="15" t="n"/>
      <c r="C87" s="15" t="n"/>
      <c r="D87" s="15" t="n"/>
      <c r="E87" s="778" t="n"/>
      <c r="F87" s="35" t="n"/>
      <c r="G87" s="35" t="n"/>
      <c r="H87" s="271" t="n"/>
      <c r="I87" s="778" t="n"/>
      <c r="J87" s="27" t="n"/>
      <c r="K87" s="27" t="n"/>
      <c r="L87" s="27" t="n"/>
      <c r="M87" s="35" t="n"/>
      <c r="N87" s="35" t="n"/>
      <c r="O87" s="778" t="n"/>
      <c r="P87" s="271" t="n"/>
      <c r="Q87" s="778" t="n"/>
      <c r="R87" s="778" t="n"/>
      <c r="S87" s="778" t="n"/>
      <c r="T87" s="35" t="n"/>
      <c r="U87" s="35" t="n"/>
      <c r="V87" s="778" t="n"/>
      <c r="W87" s="778" t="n"/>
      <c r="X87" s="59" t="n"/>
      <c r="Y87" s="792" t="n"/>
      <c r="Z87" s="148" t="n"/>
      <c r="AA87" s="35" t="n"/>
      <c r="AB87" s="35" t="n"/>
      <c r="AC87" s="27" t="n"/>
      <c r="AD87" s="27" t="n"/>
      <c r="AE87" s="148" t="n"/>
      <c r="AF87" s="148" t="n"/>
      <c r="AG87" s="148" t="n"/>
      <c r="AH87" s="35" t="n"/>
      <c r="AI87" s="35" t="n"/>
      <c r="AJ87" s="4" t="n"/>
      <c r="AL87" s="531" t="inlineStr">
        <is>
          <t>3- FCOI19 (OFFICE 365) - 8 DIES!!</t>
        </is>
      </c>
      <c r="AM87" s="531" t="n"/>
      <c r="AN87" s="531" t="n"/>
      <c r="AO87" s="531" t="n"/>
      <c r="AP87" s="531" t="n"/>
      <c r="AQ87" s="682" t="n"/>
      <c r="AR87" s="657" t="n"/>
      <c r="AS87" s="271" t="inlineStr">
        <is>
          <t>Ex. acTIC</t>
        </is>
      </c>
      <c r="AT87" s="756" t="n"/>
    </row>
    <row r="88" ht="16.5" customHeight="1" s="757" thickTop="1">
      <c r="A88" s="17" t="inlineStr">
        <is>
          <t>GOOGLE TARDA</t>
        </is>
      </c>
      <c r="B88" s="18" t="n"/>
      <c r="C88" s="18" t="n"/>
      <c r="D88" s="18" t="n"/>
      <c r="E88" s="56" t="inlineStr">
        <is>
          <t>2 M. A. FENOY</t>
        </is>
      </c>
      <c r="F88" s="36" t="n"/>
      <c r="G88" s="39" t="n"/>
      <c r="H88" s="46" t="n"/>
      <c r="I88" s="46" t="n"/>
      <c r="J88" s="76" t="n"/>
      <c r="K88" s="76" t="n"/>
      <c r="L88" s="76" t="n"/>
      <c r="M88" s="39" t="n"/>
      <c r="N88" s="39" t="n"/>
      <c r="O88" s="46" t="n"/>
      <c r="P88" s="46" t="n"/>
      <c r="Q88" s="46" t="n"/>
      <c r="S88" s="40" t="n"/>
      <c r="T88" s="39" t="n"/>
      <c r="U88" s="39" t="n"/>
      <c r="V88" s="755" t="n"/>
      <c r="W88" s="40" t="n"/>
      <c r="X88" s="59" t="n"/>
      <c r="Y88" s="792" t="n"/>
      <c r="Z88" s="150" t="n"/>
      <c r="AA88" s="39" t="n"/>
      <c r="AB88" s="39" t="n"/>
      <c r="AC88" s="28" t="n"/>
      <c r="AD88" s="28" t="n"/>
      <c r="AE88" s="150" t="n"/>
      <c r="AF88" s="150" t="n"/>
      <c r="AG88" s="150" t="n"/>
      <c r="AH88" s="39" t="n"/>
      <c r="AI88" s="39" t="n"/>
      <c r="AJ88" s="4" t="n"/>
      <c r="AL88" s="682" t="inlineStr">
        <is>
          <t>2- ADGD56 (WHATS-- TELÈFON) 1ª EDICIÓ</t>
        </is>
      </c>
    </row>
    <row r="89" ht="15.75" customHeight="1" s="757">
      <c r="A89" s="10" t="inlineStr">
        <is>
          <t>FIREFOX TARDA</t>
        </is>
      </c>
      <c r="B89" s="11" t="n"/>
      <c r="C89" s="11" t="n"/>
      <c r="D89" s="12" t="n"/>
      <c r="E89" s="756" t="n"/>
      <c r="F89" s="24" t="n"/>
      <c r="G89" s="24" t="n"/>
      <c r="H89" s="756" t="n"/>
      <c r="I89" s="756" t="n"/>
      <c r="J89" s="26" t="n"/>
      <c r="K89" s="26" t="n"/>
      <c r="L89" s="26" t="n"/>
      <c r="M89" s="24" t="n"/>
      <c r="N89" s="24" t="n"/>
      <c r="O89" s="33" t="n"/>
      <c r="P89" s="33" t="n"/>
      <c r="Q89" s="33" t="n"/>
      <c r="R89" s="33" t="n"/>
      <c r="S89" s="756" t="n"/>
      <c r="T89" s="24" t="n"/>
      <c r="U89" s="24" t="n"/>
      <c r="V89" s="756" t="n"/>
      <c r="W89" s="756" t="n"/>
      <c r="X89" s="400" t="n"/>
      <c r="Y89" s="123" t="n"/>
      <c r="Z89" s="147" t="n"/>
      <c r="AA89" s="24" t="n"/>
      <c r="AB89" s="24" t="n"/>
      <c r="AC89" s="26" t="n"/>
      <c r="AD89" s="26" t="n"/>
      <c r="AE89" s="147" t="n"/>
      <c r="AF89" s="147" t="n"/>
      <c r="AG89" s="147" t="n"/>
      <c r="AH89" s="24" t="n"/>
      <c r="AI89" s="24" t="n"/>
      <c r="AJ89" s="4" t="n"/>
      <c r="AL89" s="33" t="inlineStr">
        <is>
          <t>acTIC 14ª ed.</t>
        </is>
      </c>
    </row>
  </sheetData>
  <mergeCells count="83">
    <mergeCell ref="AK68:AP68"/>
    <mergeCell ref="AU37:AX37"/>
    <mergeCell ref="AR1:AX1"/>
    <mergeCell ref="AK47:AO47"/>
    <mergeCell ref="AL42:AN42"/>
    <mergeCell ref="AK23:AN23"/>
    <mergeCell ref="A1:AI1"/>
    <mergeCell ref="AK53:AQ53"/>
    <mergeCell ref="AS46:AW46"/>
    <mergeCell ref="A69:AI69"/>
    <mergeCell ref="AU38:AX38"/>
    <mergeCell ref="AU79:AX79"/>
    <mergeCell ref="AK60:AR60"/>
    <mergeCell ref="AK9:AQ9"/>
    <mergeCell ref="AK26:AX26"/>
    <mergeCell ref="X86:Y89"/>
    <mergeCell ref="AR24:AS24"/>
    <mergeCell ref="AL78:AN78"/>
    <mergeCell ref="AK10:AX10"/>
    <mergeCell ref="A32:AI32"/>
    <mergeCell ref="AK2:AX2"/>
    <mergeCell ref="AK1:AQ1"/>
    <mergeCell ref="AV29:AX29"/>
    <mergeCell ref="AK65:AQ65"/>
    <mergeCell ref="A40:AI40"/>
    <mergeCell ref="AR17:AX17"/>
    <mergeCell ref="AU50:AX50"/>
    <mergeCell ref="AU52:AX52"/>
    <mergeCell ref="AK17:AQ17"/>
    <mergeCell ref="AS30:AV30"/>
    <mergeCell ref="AU39:AX39"/>
    <mergeCell ref="AR72:AX72"/>
    <mergeCell ref="AO22:AQ22"/>
    <mergeCell ref="AK14:AO14"/>
    <mergeCell ref="A25:AI25"/>
    <mergeCell ref="AL80:AR80"/>
    <mergeCell ref="AL58:AN58"/>
    <mergeCell ref="A84:AI84"/>
    <mergeCell ref="AK24:AN24"/>
    <mergeCell ref="AK38:AN38"/>
    <mergeCell ref="AL86:AN86"/>
    <mergeCell ref="AK32:AX32"/>
    <mergeCell ref="AO24:AQ24"/>
    <mergeCell ref="AK82:AO82"/>
    <mergeCell ref="AK18:AX18"/>
    <mergeCell ref="AL79:AO79"/>
    <mergeCell ref="AU42:AX42"/>
    <mergeCell ref="AL71:AN71"/>
    <mergeCell ref="AT24:AU24"/>
    <mergeCell ref="AK25:AX25"/>
    <mergeCell ref="AL81:AO81"/>
    <mergeCell ref="AL64:AN64"/>
    <mergeCell ref="AT47:AX47"/>
    <mergeCell ref="AV45:AX45"/>
    <mergeCell ref="A56:AI56"/>
    <mergeCell ref="AL50:AN50"/>
    <mergeCell ref="AK39:AN39"/>
    <mergeCell ref="AL34:AN34"/>
    <mergeCell ref="AK75:AP75"/>
    <mergeCell ref="AK44:AX44"/>
    <mergeCell ref="AK31:AO31"/>
    <mergeCell ref="AS29:AU29"/>
    <mergeCell ref="AL27:AN27"/>
    <mergeCell ref="A17:AI17"/>
    <mergeCell ref="AO23:AQ23"/>
    <mergeCell ref="AR47:AS47"/>
    <mergeCell ref="A62:AI62"/>
    <mergeCell ref="AR22:AS22"/>
    <mergeCell ref="AT22:AU22"/>
    <mergeCell ref="AO15:AQ15"/>
    <mergeCell ref="A9:AI9"/>
    <mergeCell ref="AL88:AR88"/>
    <mergeCell ref="A48:AI48"/>
    <mergeCell ref="AP78:AR78"/>
    <mergeCell ref="AR23:AS23"/>
    <mergeCell ref="AR15:AT15"/>
    <mergeCell ref="AL67:AN67"/>
    <mergeCell ref="AT23:AU23"/>
    <mergeCell ref="AQ31:AV31"/>
    <mergeCell ref="AR9:AX9"/>
    <mergeCell ref="AQ20:AS20"/>
    <mergeCell ref="A76:AI76"/>
    <mergeCell ref="AN74:AP74"/>
  </mergeCells>
  <printOptions horizontalCentered="1" verticalCentered="1"/>
  <pageMargins left="0.7086614173228347" right="0.7086614173228347" top="0.5511811023622047" bottom="0.5511811023622047" header="0.3149606299212598" footer="0.3149606299212598"/>
  <pageSetup orientation="landscape" paperSize="8" scale="70" fitToHeight="2" fitToWidth="2"/>
  <headerFooter>
    <oddHeader>&amp;C&amp;A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DJ344"/>
  <sheetViews>
    <sheetView tabSelected="1" topLeftCell="A255" zoomScale="85" zoomScaleNormal="85" workbookViewId="0">
      <selection activeCell="F1" sqref="F1:P1"/>
    </sheetView>
  </sheetViews>
  <sheetFormatPr baseColWidth="10" defaultColWidth="11.42578125" defaultRowHeight="15"/>
  <cols>
    <col width="19.28515625" customWidth="1" style="757" min="1" max="1"/>
    <col width="8.28515625" customWidth="1" style="757" min="2" max="2"/>
    <col width="7.85546875" customWidth="1" style="757" min="3" max="3"/>
    <col width="6" customWidth="1" style="757" min="4" max="6"/>
    <col width="5.7109375" customWidth="1" style="757" min="7" max="7"/>
    <col width="6" customWidth="1" style="757" min="8" max="34"/>
    <col width="5.5703125" customWidth="1" style="6" min="35" max="35"/>
    <col width="5.5703125" customWidth="1" style="757" min="36" max="37"/>
    <col width="7" customWidth="1" style="757" min="38" max="38"/>
    <col width="6.85546875" customWidth="1" style="757" min="39" max="39"/>
    <col width="8.42578125" customWidth="1" style="757" min="40" max="40"/>
    <col width="4.42578125" customWidth="1" style="757" min="41" max="41"/>
    <col width="7.42578125" customWidth="1" style="757" min="42" max="42"/>
    <col width="10.5703125" customWidth="1" style="757" min="43" max="43"/>
    <col width="8.42578125" customWidth="1" style="757" min="44" max="44"/>
    <col width="14.140625" customWidth="1" style="757" min="45" max="45"/>
    <col width="7.7109375" customWidth="1" style="757" min="46" max="46"/>
    <col width="7.85546875" customWidth="1" style="757" min="47" max="47"/>
    <col width="6" customWidth="1" style="757" min="48" max="48"/>
    <col width="43" customWidth="1" style="757" min="49" max="49"/>
    <col width="10.7109375" customWidth="1" style="757" min="50" max="50"/>
    <col width="7.5703125" customWidth="1" style="757" min="51" max="51"/>
    <col width="6.42578125" customWidth="1" style="757" min="52" max="52"/>
    <col width="11.28515625" customWidth="1" style="757" min="53" max="53"/>
  </cols>
  <sheetData>
    <row r="1" ht="92.25" customHeight="1" s="757">
      <c r="A1" s="672" t="inlineStr">
        <is>
          <t>actualitzat 25/09/2026</t>
        </is>
      </c>
      <c r="B1" s="795" t="n"/>
      <c r="G1" s="787" t="inlineStr">
        <is>
          <t>ANY 2027</t>
        </is>
      </c>
      <c r="H1" s="787" t="n"/>
      <c r="I1" s="787" t="n"/>
      <c r="J1" s="787" t="n"/>
      <c r="K1" s="787" t="n"/>
      <c r="L1" s="787" t="n"/>
      <c r="M1" s="787" t="n"/>
      <c r="N1" s="787" t="n"/>
      <c r="O1" s="787" t="n"/>
      <c r="P1" s="775" t="n"/>
      <c r="AI1" s="524" t="inlineStr">
        <is>
          <t>DIES</t>
        </is>
      </c>
      <c r="AK1" s="514" t="inlineStr">
        <is>
          <t>ADA 25</t>
        </is>
      </c>
      <c r="AL1" s="56" t="n"/>
      <c r="AN1" s="541" t="inlineStr">
        <is>
          <t>PIMEC  25</t>
        </is>
      </c>
      <c r="AO1" s="53" t="n"/>
      <c r="AP1" s="526" t="inlineStr">
        <is>
          <t>FOAP 25</t>
        </is>
      </c>
      <c r="AQ1" s="74" t="n"/>
      <c r="AS1" s="523" t="inlineStr">
        <is>
          <t>EAPC</t>
        </is>
      </c>
      <c r="AV1" s="253" t="n"/>
      <c r="AW1" s="542" t="n"/>
      <c r="AX1" s="543" t="n"/>
      <c r="AZ1" s="116" t="n"/>
    </row>
    <row r="2" hidden="1" ht="21" customFormat="1" customHeight="1" s="4">
      <c r="A2" s="788" t="inlineStr">
        <is>
          <t>GENER</t>
        </is>
      </c>
      <c r="B2" s="156" t="n"/>
      <c r="C2" s="156" t="n"/>
      <c r="D2" s="156" t="n"/>
      <c r="E2" s="156" t="n"/>
      <c r="F2" s="156" t="n"/>
      <c r="G2" s="156" t="n"/>
      <c r="H2" s="156" t="n"/>
      <c r="I2" s="156" t="n"/>
      <c r="J2" s="156" t="n"/>
      <c r="K2" s="156" t="n"/>
      <c r="L2" s="156" t="n"/>
      <c r="M2" s="156" t="n"/>
      <c r="N2" s="156" t="n"/>
      <c r="O2" s="156" t="n"/>
      <c r="P2" s="156" t="n"/>
      <c r="Q2" s="156" t="n"/>
      <c r="R2" s="156" t="n"/>
      <c r="S2" s="156" t="n"/>
      <c r="T2" s="156" t="n"/>
      <c r="U2" s="156" t="n"/>
      <c r="V2" s="156" t="n"/>
      <c r="W2" s="156" t="n"/>
      <c r="X2" s="156" t="n"/>
      <c r="Y2" s="156" t="n"/>
      <c r="Z2" s="156" t="n"/>
      <c r="AA2" s="156" t="n"/>
      <c r="AB2" s="156" t="n"/>
      <c r="AC2" s="156" t="n"/>
      <c r="AD2" s="156" t="n"/>
      <c r="AE2" s="156" t="n"/>
      <c r="AF2" s="156" t="n"/>
      <c r="AG2" s="156" t="n"/>
      <c r="AH2" s="142" t="n"/>
      <c r="AI2" s="524" t="n">
        <v>22</v>
      </c>
      <c r="AK2" s="669" t="inlineStr">
        <is>
          <t>ADA</t>
        </is>
      </c>
      <c r="AO2" s="272" t="inlineStr">
        <is>
          <t>ADA4</t>
        </is>
      </c>
      <c r="AP2" s="2" t="n"/>
      <c r="AQ2" s="666" t="inlineStr">
        <is>
          <t>FOAP</t>
        </is>
      </c>
      <c r="AZ2" s="272" t="inlineStr">
        <is>
          <t>CONSORCI</t>
        </is>
      </c>
      <c r="BA2" s="272" t="n"/>
      <c r="BB2" s="272" t="n"/>
      <c r="BC2" s="272" t="n"/>
      <c r="BD2" s="272" t="n"/>
      <c r="BE2" s="272" t="n"/>
    </row>
    <row r="3" hidden="1" ht="63" customFormat="1" customHeight="1" s="5">
      <c r="A3" s="7" t="inlineStr">
        <is>
          <t>AULA</t>
        </is>
      </c>
      <c r="B3" s="8" t="inlineStr">
        <is>
          <t>INICI</t>
        </is>
      </c>
      <c r="C3" s="8" t="inlineStr">
        <is>
          <t>FINAL</t>
        </is>
      </c>
      <c r="D3" s="9" t="n">
        <v>45292</v>
      </c>
      <c r="E3" s="9" t="n">
        <v>45293</v>
      </c>
      <c r="F3" s="9" t="n">
        <v>45294</v>
      </c>
      <c r="G3" s="9" t="n">
        <v>45295</v>
      </c>
      <c r="H3" s="9" t="n">
        <v>45296</v>
      </c>
      <c r="I3" s="9" t="n">
        <v>45297</v>
      </c>
      <c r="J3" s="9" t="n">
        <v>45298</v>
      </c>
      <c r="K3" s="9" t="n">
        <v>45299</v>
      </c>
      <c r="L3" s="9" t="n">
        <v>45300</v>
      </c>
      <c r="M3" s="9" t="n">
        <v>45301</v>
      </c>
      <c r="N3" s="9" t="n">
        <v>45302</v>
      </c>
      <c r="O3" s="9" t="n">
        <v>45303</v>
      </c>
      <c r="P3" s="9" t="n">
        <v>45304</v>
      </c>
      <c r="Q3" s="9" t="n">
        <v>45305</v>
      </c>
      <c r="R3" s="9" t="n">
        <v>45306</v>
      </c>
      <c r="S3" s="9" t="n">
        <v>45307</v>
      </c>
      <c r="T3" s="9" t="n">
        <v>45308</v>
      </c>
      <c r="U3" s="9" t="n">
        <v>45309</v>
      </c>
      <c r="V3" s="9" t="n">
        <v>45310</v>
      </c>
      <c r="W3" s="9" t="n">
        <v>45311</v>
      </c>
      <c r="X3" s="9" t="n">
        <v>45312</v>
      </c>
      <c r="Y3" s="9" t="n">
        <v>45313</v>
      </c>
      <c r="Z3" s="9" t="n">
        <v>45314</v>
      </c>
      <c r="AA3" s="9" t="n">
        <v>45315</v>
      </c>
      <c r="AB3" s="9" t="n">
        <v>45316</v>
      </c>
      <c r="AC3" s="9" t="n">
        <v>45317</v>
      </c>
      <c r="AD3" s="9" t="n">
        <v>45318</v>
      </c>
      <c r="AE3" s="9" t="n">
        <v>45319</v>
      </c>
      <c r="AF3" s="9" t="n">
        <v>45320</v>
      </c>
      <c r="AG3" s="9" t="n">
        <v>45321</v>
      </c>
      <c r="AH3" s="9" t="n">
        <v>45322</v>
      </c>
      <c r="AI3" s="4" t="n"/>
      <c r="AV3" s="775" t="n"/>
    </row>
    <row r="4" hidden="1" ht="15.75" customHeight="1" s="757">
      <c r="A4" s="10" t="inlineStr">
        <is>
          <t>GOOGLE MATINS</t>
        </is>
      </c>
      <c r="B4" s="11" t="n"/>
      <c r="C4" s="11" t="n"/>
      <c r="D4" s="26" t="n"/>
      <c r="E4" s="85" t="n"/>
      <c r="F4" s="85" t="n"/>
      <c r="G4" s="85" t="n"/>
      <c r="H4" s="85" t="n"/>
      <c r="I4" s="26" t="n"/>
      <c r="J4" s="24" t="n"/>
      <c r="K4" s="85" t="n"/>
      <c r="L4" s="85" t="n"/>
      <c r="M4" s="370" t="inlineStr">
        <is>
          <t>MF0975 RAFA</t>
        </is>
      </c>
      <c r="N4" s="518" t="n"/>
      <c r="O4" s="69" t="n"/>
      <c r="P4" s="24" t="n"/>
      <c r="Q4" s="24" t="n"/>
      <c r="R4" s="350" t="n"/>
      <c r="S4" s="69" t="n"/>
      <c r="T4" s="69" t="n"/>
      <c r="U4" s="69" t="n"/>
      <c r="V4" s="69" t="n"/>
      <c r="W4" s="24" t="n"/>
      <c r="X4" s="24" t="n"/>
      <c r="Y4" s="350" t="n"/>
      <c r="Z4" s="69" t="n"/>
      <c r="AA4" s="69" t="n"/>
      <c r="AB4" s="69" t="n"/>
      <c r="AC4" s="69" t="n"/>
      <c r="AD4" s="24" t="n"/>
      <c r="AE4" s="24" t="n"/>
      <c r="AF4" s="370" t="inlineStr">
        <is>
          <t>MF0978 RAFA</t>
        </is>
      </c>
      <c r="AG4" s="69" t="n"/>
      <c r="AH4" s="69" t="n"/>
      <c r="AI4" s="4" t="n"/>
      <c r="AJ4" s="226" t="n">
        <v>17</v>
      </c>
      <c r="AK4" s="646" t="inlineStr">
        <is>
          <t>0208 CEN</t>
        </is>
      </c>
    </row>
    <row r="5" hidden="1" ht="16.5" customHeight="1" s="757">
      <c r="A5" s="14" t="inlineStr">
        <is>
          <t>FIREFOX MATINS</t>
        </is>
      </c>
      <c r="B5" s="15" t="n"/>
      <c r="C5" s="15" t="n"/>
      <c r="D5" s="27" t="n"/>
      <c r="E5" s="87" t="n"/>
      <c r="F5" s="87" t="n"/>
      <c r="G5" s="87" t="n"/>
      <c r="H5" s="87" t="n"/>
      <c r="I5" s="27" t="n"/>
      <c r="J5" s="35" t="n"/>
      <c r="K5" s="778" t="n"/>
      <c r="L5" s="173" t="n"/>
      <c r="M5" s="778" t="n"/>
      <c r="N5" s="778" t="n"/>
      <c r="O5" s="778" t="n"/>
      <c r="P5" s="35" t="n"/>
      <c r="Q5" s="35" t="n"/>
      <c r="R5" s="778" t="n"/>
      <c r="S5" s="176" t="n">
        <v>4</v>
      </c>
      <c r="T5" s="176" t="inlineStr">
        <is>
          <t>FENOY</t>
        </is>
      </c>
      <c r="U5" s="176" t="n"/>
      <c r="V5" s="176" t="n"/>
      <c r="W5" s="35" t="n"/>
      <c r="X5" s="35" t="n"/>
      <c r="Y5" s="176" t="n"/>
      <c r="Z5" s="176" t="n"/>
      <c r="AA5" s="176" t="n"/>
      <c r="AB5" s="176" t="n"/>
      <c r="AC5" s="176" t="inlineStr">
        <is>
          <t>5 - FENOY</t>
        </is>
      </c>
      <c r="AD5" s="35" t="n"/>
      <c r="AE5" s="35" t="n"/>
      <c r="AF5" s="176" t="n"/>
      <c r="AG5" s="369" t="n"/>
      <c r="AH5" s="176" t="n"/>
      <c r="AI5" s="4" t="n"/>
      <c r="AK5" s="665" t="inlineStr">
        <is>
          <t>4--FCOI13</t>
        </is>
      </c>
      <c r="AM5" s="775" t="n"/>
      <c r="AN5" s="667" t="inlineStr">
        <is>
          <t>5--FCOI21</t>
        </is>
      </c>
      <c r="AQ5" s="668" t="n"/>
    </row>
    <row r="6" hidden="1" ht="15.75" customHeight="1" s="757">
      <c r="A6" s="17" t="inlineStr">
        <is>
          <t>GOOGLE TARDA</t>
        </is>
      </c>
      <c r="B6" s="18" t="n"/>
      <c r="C6" s="18" t="n"/>
      <c r="D6" s="28" t="n"/>
      <c r="E6" s="89" t="n"/>
      <c r="F6" s="89" t="n"/>
      <c r="G6" s="89" t="n"/>
      <c r="H6" s="89" t="n"/>
      <c r="I6" s="28" t="n"/>
      <c r="J6" s="39" t="n"/>
      <c r="K6" s="755" t="n"/>
      <c r="L6" s="755" t="n"/>
      <c r="M6" s="755" t="n"/>
      <c r="N6" s="755" t="n"/>
      <c r="O6" s="755" t="n"/>
      <c r="P6" s="39" t="n"/>
      <c r="Q6" s="39" t="n"/>
      <c r="R6" s="755" t="n"/>
      <c r="S6" s="755" t="n"/>
      <c r="T6" s="755" t="n"/>
      <c r="U6" s="755" t="n"/>
      <c r="V6" s="755" t="n"/>
      <c r="W6" s="39" t="n"/>
      <c r="X6" s="39" t="n"/>
      <c r="Y6" s="755" t="n"/>
      <c r="Z6" s="755" t="n"/>
      <c r="AA6" s="755" t="n"/>
      <c r="AB6" s="544" t="n"/>
      <c r="AC6" s="755" t="n"/>
      <c r="AD6" s="24" t="n"/>
      <c r="AE6" s="24" t="n"/>
      <c r="AF6" s="755" t="n"/>
      <c r="AG6" s="755" t="n"/>
      <c r="AH6" s="755" t="n"/>
      <c r="AI6" s="140" t="n"/>
      <c r="AK6" s="670" t="n"/>
    </row>
    <row r="7" hidden="1" ht="18.75" customHeight="1" s="757">
      <c r="A7" s="10" t="inlineStr">
        <is>
          <t>FIREFOX TARDA</t>
        </is>
      </c>
      <c r="B7" s="11" t="n"/>
      <c r="C7" s="11" t="n"/>
      <c r="D7" s="26" t="n"/>
      <c r="E7" s="85" t="n"/>
      <c r="F7" s="85" t="n"/>
      <c r="G7" s="85" t="n"/>
      <c r="H7" s="85" t="n"/>
      <c r="I7" s="26" t="n"/>
      <c r="J7" s="24" t="n"/>
      <c r="K7" s="756" t="n"/>
      <c r="L7" s="85" t="n"/>
      <c r="M7" s="85" t="n"/>
      <c r="N7" s="85" t="n"/>
      <c r="O7" s="85" t="n"/>
      <c r="P7" s="24" t="n"/>
      <c r="Q7" s="24" t="n"/>
      <c r="R7" s="33" t="n"/>
      <c r="S7" s="33" t="n"/>
      <c r="T7" s="756" t="n"/>
      <c r="U7" s="756" t="n"/>
      <c r="V7" s="756" t="n"/>
      <c r="W7" s="24" t="n"/>
      <c r="X7" s="24" t="n"/>
      <c r="Y7" s="360" t="n"/>
      <c r="Z7" s="360" t="n"/>
      <c r="AA7" s="756" t="n"/>
      <c r="AB7" s="395" t="inlineStr">
        <is>
          <t>1 vam</t>
        </is>
      </c>
      <c r="AC7" s="756" t="n"/>
      <c r="AD7" s="24" t="n"/>
      <c r="AE7" s="24" t="n"/>
      <c r="AF7" s="33" t="inlineStr">
        <is>
          <t>1-CRR</t>
        </is>
      </c>
      <c r="AG7" s="33" t="n"/>
      <c r="AH7" s="274" t="n"/>
      <c r="AI7" s="140" t="n"/>
      <c r="AK7" s="662" t="inlineStr">
        <is>
          <t>RECICLATGE PRIMERS AUXILIS</t>
        </is>
      </c>
      <c r="AR7" s="116" t="inlineStr">
        <is>
          <t>1-OPERACIÓ CARRETONS</t>
        </is>
      </c>
      <c r="AS7" s="116" t="n"/>
      <c r="AT7" s="116" t="n"/>
      <c r="AU7" s="116" t="n"/>
      <c r="AW7" s="394" t="inlineStr">
        <is>
          <t>1 VAM</t>
        </is>
      </c>
      <c r="AY7" s="360" t="n"/>
      <c r="AZ7" s="360" t="n"/>
      <c r="BA7" s="775" t="n"/>
    </row>
    <row r="8" hidden="1" ht="15.75" customHeight="1" s="757">
      <c r="A8" s="10" t="inlineStr">
        <is>
          <t>TARRAGONA mati</t>
        </is>
      </c>
      <c r="B8" s="11" t="n"/>
      <c r="C8" s="11" t="n"/>
      <c r="D8" s="26" t="n"/>
      <c r="E8" s="85" t="n"/>
      <c r="F8" s="85" t="n"/>
      <c r="G8" s="85" t="n"/>
      <c r="H8" s="85" t="n"/>
      <c r="I8" s="26" t="n"/>
      <c r="J8" s="24" t="n"/>
      <c r="K8" s="756" t="n"/>
      <c r="L8" s="85" t="n"/>
      <c r="M8" s="85" t="n"/>
      <c r="N8" s="85" t="n"/>
      <c r="O8" s="85" t="n"/>
      <c r="P8" s="24" t="n"/>
      <c r="Q8" s="24" t="n"/>
      <c r="R8" s="756" t="n"/>
      <c r="S8" s="85" t="n"/>
      <c r="T8" s="85" t="n"/>
      <c r="U8" s="85" t="n"/>
      <c r="V8" s="85" t="n"/>
      <c r="W8" s="24" t="n"/>
      <c r="X8" s="24" t="n"/>
      <c r="Y8" s="756" t="n"/>
      <c r="Z8" s="756" t="n"/>
      <c r="AA8" s="756" t="n"/>
      <c r="AB8" s="756" t="n"/>
      <c r="AC8" s="756" t="n"/>
      <c r="AD8" s="24" t="n"/>
      <c r="AE8" s="24" t="n"/>
      <c r="AF8" s="756" t="n"/>
      <c r="AG8" s="756" t="n"/>
      <c r="AH8" s="756" t="n"/>
      <c r="AI8" s="4" t="n"/>
    </row>
    <row r="9" hidden="1" ht="15.75" customHeight="1" s="757">
      <c r="A9" s="10" t="inlineStr">
        <is>
          <t>TARRAGONA tarda</t>
        </is>
      </c>
      <c r="B9" s="11" t="n"/>
      <c r="C9" s="11" t="n"/>
      <c r="D9" s="26" t="n"/>
      <c r="E9" s="85" t="n"/>
      <c r="F9" s="85" t="n"/>
      <c r="G9" s="85" t="n"/>
      <c r="H9" s="85" t="n"/>
      <c r="I9" s="26" t="n"/>
      <c r="J9" s="24" t="n"/>
      <c r="K9" s="756" t="n"/>
      <c r="L9" s="85" t="n"/>
      <c r="M9" s="85" t="n"/>
      <c r="N9" s="85" t="n"/>
      <c r="O9" s="85" t="n"/>
      <c r="P9" s="24" t="n"/>
      <c r="Q9" s="24" t="n"/>
      <c r="R9" s="545" t="inlineStr">
        <is>
          <t>1-PERE</t>
        </is>
      </c>
      <c r="S9" s="33" t="n"/>
      <c r="T9" s="33" t="n"/>
      <c r="U9" s="33" t="n"/>
      <c r="V9" s="33" t="n"/>
      <c r="W9" s="24" t="n"/>
      <c r="X9" s="24" t="n"/>
      <c r="Y9" s="33" t="n"/>
      <c r="Z9" s="33" t="n"/>
      <c r="AA9" s="33" t="n"/>
      <c r="AB9" s="33" t="n"/>
      <c r="AC9" s="33" t="n"/>
      <c r="AD9" s="24" t="n"/>
      <c r="AE9" s="24" t="n"/>
      <c r="AF9" s="756" t="n"/>
      <c r="AG9" s="756" t="n"/>
      <c r="AH9" s="756" t="n"/>
      <c r="AI9" s="4" t="n"/>
      <c r="AK9" s="662" t="inlineStr">
        <is>
          <t>1-ACTIC- NIVELL INTERMEDI</t>
        </is>
      </c>
      <c r="AQ9" s="657" t="n"/>
    </row>
    <row r="10" hidden="1" ht="18.75" customFormat="1" customHeight="1" s="4">
      <c r="A10" s="788" t="inlineStr">
        <is>
          <t>FEBRER</t>
        </is>
      </c>
      <c r="B10" s="156" t="n"/>
      <c r="C10" s="156" t="n"/>
      <c r="D10" s="156" t="n"/>
      <c r="E10" s="156" t="n"/>
      <c r="F10" s="156" t="n"/>
      <c r="G10" s="156" t="n"/>
      <c r="H10" s="156" t="n"/>
      <c r="I10" s="156" t="n"/>
      <c r="J10" s="156" t="n"/>
      <c r="K10" s="156" t="n"/>
      <c r="L10" s="156" t="n"/>
      <c r="M10" s="156" t="n"/>
      <c r="N10" s="156" t="n"/>
      <c r="O10" s="156" t="n"/>
      <c r="P10" s="156" t="n"/>
      <c r="Q10" s="156" t="n"/>
      <c r="R10" s="156" t="n"/>
      <c r="S10" s="156" t="n"/>
      <c r="T10" s="156" t="n"/>
      <c r="U10" s="156" t="n"/>
      <c r="V10" s="156" t="n"/>
      <c r="W10" s="156" t="n"/>
      <c r="X10" s="156" t="n"/>
      <c r="Y10" s="156" t="n"/>
      <c r="Z10" s="156" t="n"/>
      <c r="AA10" s="156" t="n"/>
      <c r="AB10" s="156" t="n"/>
      <c r="AC10" s="156" t="n"/>
      <c r="AD10" s="156" t="n"/>
      <c r="AE10" s="156" t="n"/>
      <c r="AF10" s="156" t="n"/>
      <c r="AG10" s="156" t="n"/>
      <c r="AH10" s="142" t="n"/>
      <c r="AI10" s="524" t="n">
        <v>21</v>
      </c>
      <c r="AJ10">
        <f>22+21</f>
        <v/>
      </c>
    </row>
    <row r="11" hidden="1" ht="66" customFormat="1" customHeight="1" s="5">
      <c r="A11" s="7" t="inlineStr">
        <is>
          <t>AULA</t>
        </is>
      </c>
      <c r="B11" s="8" t="inlineStr">
        <is>
          <t>INICI</t>
        </is>
      </c>
      <c r="C11" s="8" t="inlineStr">
        <is>
          <t>FINAL</t>
        </is>
      </c>
      <c r="D11" s="9" t="n">
        <v>45323</v>
      </c>
      <c r="E11" s="9" t="n">
        <v>45324</v>
      </c>
      <c r="F11" s="9" t="n">
        <v>45325</v>
      </c>
      <c r="G11" s="9" t="n">
        <v>45326</v>
      </c>
      <c r="H11" s="9" t="n">
        <v>45327</v>
      </c>
      <c r="I11" s="9" t="n">
        <v>45328</v>
      </c>
      <c r="J11" s="9" t="n">
        <v>45329</v>
      </c>
      <c r="K11" s="9" t="n">
        <v>45330</v>
      </c>
      <c r="L11" s="9" t="n">
        <v>45331</v>
      </c>
      <c r="M11" s="9" t="n">
        <v>45332</v>
      </c>
      <c r="N11" s="9" t="n">
        <v>45333</v>
      </c>
      <c r="O11" s="9" t="n">
        <v>45334</v>
      </c>
      <c r="P11" s="171" t="n">
        <v>45335</v>
      </c>
      <c r="Q11" s="9" t="n">
        <v>45336</v>
      </c>
      <c r="R11" s="9" t="n">
        <v>45337</v>
      </c>
      <c r="S11" s="9" t="n">
        <v>45338</v>
      </c>
      <c r="T11" s="9" t="n">
        <v>45339</v>
      </c>
      <c r="U11" s="9" t="n">
        <v>45340</v>
      </c>
      <c r="V11" s="9" t="n">
        <v>45341</v>
      </c>
      <c r="W11" s="9" t="n">
        <v>45342</v>
      </c>
      <c r="X11" s="411" t="n">
        <v>45343</v>
      </c>
      <c r="Y11" s="9" t="n">
        <v>45344</v>
      </c>
      <c r="Z11" s="9" t="n">
        <v>45345</v>
      </c>
      <c r="AA11" s="9" t="n">
        <v>45346</v>
      </c>
      <c r="AB11" s="9" t="n">
        <v>45347</v>
      </c>
      <c r="AC11" s="9" t="n">
        <v>45348</v>
      </c>
      <c r="AD11" s="9" t="n">
        <v>45349</v>
      </c>
      <c r="AE11" s="9" t="n">
        <v>45350</v>
      </c>
      <c r="AF11" s="9" t="n">
        <v>45351</v>
      </c>
      <c r="AG11" s="9" t="n"/>
      <c r="AH11" s="9" t="n"/>
      <c r="AI11" s="4" t="n"/>
    </row>
    <row r="12" hidden="1" ht="15.75" customHeight="1" s="757">
      <c r="A12" s="10" t="inlineStr">
        <is>
          <t>GOOGLE MATINS</t>
        </is>
      </c>
      <c r="B12" s="11" t="n"/>
      <c r="C12" s="11" t="n"/>
      <c r="D12" s="518" t="n"/>
      <c r="E12" s="69" t="n"/>
      <c r="F12" s="24" t="n"/>
      <c r="G12" s="24" t="n"/>
      <c r="H12" s="69" t="n"/>
      <c r="I12" s="69" t="n"/>
      <c r="J12" s="69" t="n"/>
      <c r="K12" s="69" t="n"/>
      <c r="L12" s="69" t="n"/>
      <c r="M12" s="24" t="n"/>
      <c r="N12" s="24" t="n"/>
      <c r="O12" s="370" t="inlineStr">
        <is>
          <t>MF976 RAFA</t>
        </is>
      </c>
      <c r="P12" s="69" t="n"/>
      <c r="Q12" s="361" t="n"/>
      <c r="R12" s="518" t="n"/>
      <c r="S12" s="74" t="n"/>
      <c r="T12" s="24" t="n"/>
      <c r="U12" s="24" t="n"/>
      <c r="V12" s="74" t="inlineStr">
        <is>
          <t>mon</t>
        </is>
      </c>
      <c r="W12" s="546" t="inlineStr">
        <is>
          <t>FCOO03 MONTSE</t>
        </is>
      </c>
      <c r="X12" s="404" t="n"/>
      <c r="Y12" s="526" t="inlineStr">
        <is>
          <t>UF0350</t>
        </is>
      </c>
      <c r="Z12" s="69" t="n"/>
      <c r="AA12" s="24" t="n"/>
      <c r="AB12" s="24" t="n"/>
      <c r="AC12" s="352" t="n"/>
      <c r="AD12" s="361" t="n"/>
      <c r="AE12" s="69" t="n"/>
      <c r="AF12" s="69" t="n"/>
      <c r="AG12" s="756" t="n"/>
      <c r="AH12" s="756" t="n"/>
      <c r="AI12" s="4" t="n"/>
      <c r="AJ12" s="226">
        <f>AJ4+AI10</f>
        <v/>
      </c>
      <c r="AK12" s="646" t="inlineStr">
        <is>
          <t>0208 CEN</t>
        </is>
      </c>
      <c r="AO12" s="546" t="inlineStr">
        <is>
          <t>FCOO03 MONTSE</t>
        </is>
      </c>
      <c r="AP12" s="404" t="n"/>
    </row>
    <row r="13" hidden="1" ht="16.5" customHeight="1" s="757">
      <c r="A13" s="14" t="inlineStr">
        <is>
          <t>FIREFOX MATINS</t>
        </is>
      </c>
      <c r="B13" s="15" t="n"/>
      <c r="C13" s="15" t="n"/>
      <c r="D13" s="176" t="n">
        <v>5</v>
      </c>
      <c r="E13" s="176" t="n"/>
      <c r="F13" s="35" t="n"/>
      <c r="G13" s="35" t="n"/>
      <c r="H13" s="176" t="n"/>
      <c r="I13" s="176" t="n"/>
      <c r="J13" s="176" t="n"/>
      <c r="K13" s="176" t="n"/>
      <c r="L13" s="778" t="n"/>
      <c r="M13" s="35" t="n"/>
      <c r="N13" s="35" t="n"/>
      <c r="O13" s="778" t="n"/>
      <c r="P13" s="173" t="n"/>
      <c r="Q13" s="778" t="n"/>
      <c r="R13" s="778" t="n"/>
      <c r="S13" s="778" t="n"/>
      <c r="T13" s="35" t="n"/>
      <c r="U13" s="35" t="n"/>
      <c r="V13" s="395" t="inlineStr">
        <is>
          <t>2 vam</t>
        </is>
      </c>
      <c r="W13" s="176" t="n">
        <v>7</v>
      </c>
      <c r="X13" s="369" t="inlineStr">
        <is>
          <t>MARIA MATEU</t>
        </is>
      </c>
      <c r="Y13" s="176" t="n"/>
      <c r="Z13" s="176" t="n"/>
      <c r="AA13" s="35" t="n"/>
      <c r="AB13" s="35" t="n"/>
      <c r="AC13" s="176" t="n"/>
      <c r="AD13" s="176" t="n"/>
      <c r="AE13" s="176" t="n"/>
      <c r="AF13" s="176" t="n"/>
      <c r="AG13" s="778" t="n"/>
      <c r="AH13" s="778" t="n"/>
      <c r="AI13" s="4" t="n"/>
      <c r="AK13" s="665" t="inlineStr">
        <is>
          <t>5--FCOI21</t>
        </is>
      </c>
      <c r="AO13" s="664" t="inlineStr">
        <is>
          <t>7- ADGG_ITI01 ED. TEXTOS(5H)</t>
        </is>
      </c>
      <c r="AV13" s="394" t="inlineStr">
        <is>
          <t>2 VAM</t>
        </is>
      </c>
    </row>
    <row r="14" hidden="1" ht="15.75" customHeight="1" s="757">
      <c r="A14" s="17" t="inlineStr">
        <is>
          <t>GOOGLE TARDA</t>
        </is>
      </c>
      <c r="B14" s="18" t="n"/>
      <c r="C14" s="18" t="n"/>
      <c r="D14" s="755" t="n"/>
      <c r="E14" s="755" t="n"/>
      <c r="F14" s="39" t="n"/>
      <c r="G14" s="39" t="n"/>
      <c r="H14" s="755" t="n"/>
      <c r="I14" s="755" t="n"/>
      <c r="J14" s="755" t="n"/>
      <c r="K14" s="755" t="n"/>
      <c r="L14" s="755" t="n"/>
      <c r="M14" s="39" t="n"/>
      <c r="N14" s="39" t="n"/>
      <c r="O14" s="426" t="n"/>
      <c r="P14" s="281" t="n">
        <v>6</v>
      </c>
      <c r="Q14" s="56" t="inlineStr">
        <is>
          <t>PERE</t>
        </is>
      </c>
      <c r="R14" s="281" t="n"/>
      <c r="S14" s="281" t="n"/>
      <c r="T14" s="119" t="n"/>
      <c r="U14" s="119" t="n"/>
      <c r="V14" s="281" t="n"/>
      <c r="W14" s="281" t="n"/>
      <c r="X14" s="281" t="n"/>
      <c r="Y14" s="281" t="n"/>
      <c r="Z14" s="281" t="n"/>
      <c r="AA14" s="39" t="n"/>
      <c r="AB14" s="39" t="n"/>
      <c r="AC14" s="547" t="inlineStr">
        <is>
          <t>9 PERE</t>
        </is>
      </c>
      <c r="AD14" s="544" t="n"/>
      <c r="AE14" s="547" t="n"/>
      <c r="AF14" s="48" t="n"/>
      <c r="AG14" s="755" t="n"/>
      <c r="AH14" s="755" t="n"/>
      <c r="AI14" s="140" t="n"/>
      <c r="AK14" s="56" t="inlineStr">
        <is>
          <t>6- FCOI27 - EXCEL BASIC 1ºED)</t>
        </is>
      </c>
      <c r="AL14" s="56" t="n"/>
      <c r="AM14" s="56" t="n"/>
      <c r="AN14" s="56" t="n"/>
      <c r="AO14" s="56" t="n"/>
      <c r="AQ14" s="56" t="inlineStr">
        <is>
          <t>9-FCOI25 MIG</t>
        </is>
      </c>
      <c r="AR14" s="58" t="n"/>
      <c r="AS14" s="58" t="n"/>
      <c r="AT14" s="667" t="inlineStr">
        <is>
          <t>(EXAMEN)</t>
        </is>
      </c>
    </row>
    <row r="15" hidden="1" ht="18.75" customHeight="1" s="757">
      <c r="A15" s="10" t="inlineStr">
        <is>
          <t>FIREFOX TARDA</t>
        </is>
      </c>
      <c r="B15" s="11" t="n"/>
      <c r="C15" s="11" t="n"/>
      <c r="D15" s="274" t="n">
        <v>1</v>
      </c>
      <c r="E15" s="33" t="n"/>
      <c r="F15" s="24" t="n"/>
      <c r="G15" s="24" t="n"/>
      <c r="H15" s="360" t="n"/>
      <c r="I15" s="360" t="n"/>
      <c r="J15" s="756" t="n"/>
      <c r="K15" s="756" t="n"/>
      <c r="L15" s="756" t="n"/>
      <c r="M15" s="24" t="n"/>
      <c r="N15" s="24" t="n"/>
      <c r="O15" s="756" t="n"/>
      <c r="P15" s="756" t="n"/>
      <c r="Q15" s="756" t="n"/>
      <c r="R15" s="756" t="n"/>
      <c r="S15" s="756" t="n"/>
      <c r="T15" s="756" t="n"/>
      <c r="U15" s="756" t="n"/>
      <c r="V15" s="756" t="n"/>
      <c r="W15" s="756" t="n"/>
      <c r="X15" s="756" t="n"/>
      <c r="Y15" s="756" t="n"/>
      <c r="Z15" s="756" t="n"/>
      <c r="AA15" s="24" t="n"/>
      <c r="AB15" s="24" t="n"/>
      <c r="AC15" s="360" t="n"/>
      <c r="AD15" s="360" t="n"/>
      <c r="AE15" s="756" t="n"/>
      <c r="AF15" s="756" t="n"/>
      <c r="AG15" s="756" t="n"/>
      <c r="AH15" s="756" t="n"/>
      <c r="AI15" s="4" t="n"/>
      <c r="AR15" s="116" t="inlineStr">
        <is>
          <t>1-OPERACIÓ CARRETONS</t>
        </is>
      </c>
      <c r="AS15" s="116" t="n"/>
      <c r="AT15" s="116" t="n"/>
      <c r="AU15" s="116" t="n"/>
      <c r="AW15" s="397" t="n"/>
      <c r="AX15" s="397" t="n"/>
      <c r="AY15" s="775" t="n"/>
    </row>
    <row r="16" hidden="1" ht="15.75" customHeight="1" s="757">
      <c r="A16" s="10" t="inlineStr">
        <is>
          <t>TARRAGONA mati</t>
        </is>
      </c>
      <c r="B16" s="11" t="n"/>
      <c r="C16" s="11" t="n"/>
      <c r="D16" s="756" t="n"/>
      <c r="E16" s="756" t="n"/>
      <c r="F16" s="24" t="n"/>
      <c r="G16" s="24" t="n"/>
      <c r="H16" s="756" t="n"/>
      <c r="I16" s="756" t="n"/>
      <c r="J16" s="756" t="n"/>
      <c r="K16" s="756" t="n"/>
      <c r="L16" s="756" t="n"/>
      <c r="M16" s="24" t="n"/>
      <c r="N16" s="24" t="n"/>
      <c r="O16" s="755" t="n"/>
      <c r="Q16" s="755" t="n"/>
      <c r="R16" s="399" t="n"/>
      <c r="S16" s="755" t="n"/>
      <c r="T16" s="39" t="n"/>
      <c r="U16" s="39" t="n"/>
      <c r="V16" s="755" t="n"/>
      <c r="W16" s="755" t="n"/>
      <c r="Y16" s="399" t="n"/>
      <c r="Z16" s="755" t="n"/>
      <c r="AA16" s="24" t="n"/>
      <c r="AB16" s="24" t="n"/>
      <c r="AC16" s="43" t="n"/>
      <c r="AD16" s="756" t="n"/>
      <c r="AE16" s="756" t="n"/>
      <c r="AF16" s="756" t="n"/>
      <c r="AG16" s="756" t="n"/>
      <c r="AH16" s="756" t="n"/>
      <c r="AI16" s="4" t="n"/>
      <c r="AK16" s="422" t="inlineStr">
        <is>
          <t>EAPC - EXCEL INTERMEDI</t>
        </is>
      </c>
      <c r="AL16" s="422" t="n"/>
      <c r="AM16" s="422" t="n"/>
      <c r="AN16" s="422" t="n"/>
    </row>
    <row r="17" hidden="1" ht="15.75" customHeight="1" s="757">
      <c r="A17" s="10" t="inlineStr">
        <is>
          <t>TARRAGONA tarda</t>
        </is>
      </c>
      <c r="B17" s="11" t="n"/>
      <c r="C17" s="11" t="n"/>
      <c r="D17" s="756" t="n"/>
      <c r="E17" s="756" t="n"/>
      <c r="F17" s="24" t="n"/>
      <c r="G17" s="24" t="n"/>
      <c r="H17" s="365" t="n"/>
      <c r="I17" s="756" t="n"/>
      <c r="J17" s="756" t="n"/>
      <c r="K17" s="756" t="n"/>
      <c r="L17" s="756" t="n"/>
      <c r="M17" s="24" t="n"/>
      <c r="N17" s="24" t="n"/>
      <c r="O17" s="756" t="n"/>
      <c r="P17" s="283" t="n"/>
      <c r="Q17" s="756" t="n"/>
      <c r="R17" s="756" t="n"/>
      <c r="S17" s="756" t="n"/>
      <c r="T17" s="24" t="n"/>
      <c r="U17" s="24" t="n"/>
      <c r="V17" s="756" t="n"/>
      <c r="W17" s="756" t="n"/>
      <c r="X17" s="756" t="n"/>
      <c r="Y17" s="756" t="n"/>
      <c r="Z17" s="756" t="n"/>
      <c r="AA17" s="24" t="n"/>
      <c r="AB17" s="24" t="n"/>
      <c r="AC17" s="530" t="n"/>
      <c r="AD17" s="756" t="n"/>
      <c r="AE17" s="756" t="n"/>
      <c r="AF17" s="756" t="n"/>
      <c r="AG17" s="756" t="n"/>
      <c r="AH17" s="85" t="n"/>
      <c r="AI17" s="4" t="n"/>
      <c r="AK17" s="548" t="inlineStr">
        <is>
          <t>EXAMEN ACTIC CURS FCOI25 PERE TRG.</t>
        </is>
      </c>
      <c r="AL17" s="421" t="n"/>
      <c r="AM17" s="421" t="n"/>
      <c r="AN17" s="421" t="n"/>
      <c r="AO17" s="421" t="n"/>
      <c r="AP17" s="421" t="n"/>
      <c r="AQ17" s="366" t="n"/>
    </row>
    <row r="18" hidden="1" ht="23.25" customFormat="1" customHeight="1" s="4">
      <c r="A18" s="788" t="inlineStr">
        <is>
          <t>MARÇ</t>
        </is>
      </c>
      <c r="B18" s="156" t="n"/>
      <c r="C18" s="156" t="n"/>
      <c r="D18" s="156" t="n"/>
      <c r="E18" s="156" t="n"/>
      <c r="F18" s="156" t="n"/>
      <c r="G18" s="156" t="n"/>
      <c r="H18" s="156" t="n"/>
      <c r="I18" s="156" t="n"/>
      <c r="J18" s="156" t="n"/>
      <c r="K18" s="156" t="n"/>
      <c r="L18" s="156" t="n"/>
      <c r="M18" s="156" t="n"/>
      <c r="N18" s="156" t="n"/>
      <c r="O18" s="156" t="n"/>
      <c r="P18" s="156" t="n"/>
      <c r="Q18" s="156" t="n"/>
      <c r="R18" s="156" t="n"/>
      <c r="S18" s="156" t="n"/>
      <c r="T18" s="156" t="n"/>
      <c r="U18" s="156" t="n"/>
      <c r="V18" s="156" t="n"/>
      <c r="W18" s="156" t="n"/>
      <c r="X18" s="156" t="n"/>
      <c r="Y18" s="156" t="n"/>
      <c r="Z18" s="156" t="n"/>
      <c r="AA18" s="156" t="n"/>
      <c r="AB18" s="156" t="n"/>
      <c r="AC18" s="156" t="n"/>
      <c r="AD18" s="156" t="n"/>
      <c r="AE18" s="156" t="n"/>
      <c r="AF18" s="156" t="n"/>
      <c r="AG18" s="156" t="n"/>
      <c r="AH18" s="142" t="n"/>
      <c r="AI18" s="524" t="n">
        <v>20</v>
      </c>
      <c r="AJ18">
        <f>AJ10+20</f>
        <v/>
      </c>
      <c r="AK18" s="775" t="n"/>
    </row>
    <row r="19" hidden="1" ht="67.5" customFormat="1" customHeight="1" s="5">
      <c r="A19" s="7" t="inlineStr">
        <is>
          <t>AULA</t>
        </is>
      </c>
      <c r="B19" s="8" t="inlineStr">
        <is>
          <t>INICI</t>
        </is>
      </c>
      <c r="C19" s="8" t="inlineStr">
        <is>
          <t>FINAL</t>
        </is>
      </c>
      <c r="D19" s="9" t="n">
        <v>45352</v>
      </c>
      <c r="E19" s="9" t="n">
        <v>45353</v>
      </c>
      <c r="F19" s="9" t="n">
        <v>45354</v>
      </c>
      <c r="G19" s="9" t="n">
        <v>45355</v>
      </c>
      <c r="H19" s="9" t="n">
        <v>45356</v>
      </c>
      <c r="I19" s="9" t="n">
        <v>45357</v>
      </c>
      <c r="J19" s="9" t="n">
        <v>45358</v>
      </c>
      <c r="K19" s="9" t="n">
        <v>45359</v>
      </c>
      <c r="L19" s="9" t="n">
        <v>45360</v>
      </c>
      <c r="M19" s="9" t="n">
        <v>45361</v>
      </c>
      <c r="N19" s="9" t="n">
        <v>45362</v>
      </c>
      <c r="O19" s="411" t="n">
        <v>45363</v>
      </c>
      <c r="P19" s="9" t="n">
        <v>45364</v>
      </c>
      <c r="Q19" s="411" t="n">
        <v>45365</v>
      </c>
      <c r="R19" s="9" t="n">
        <v>45366</v>
      </c>
      <c r="S19" s="9" t="n">
        <v>45367</v>
      </c>
      <c r="T19" s="9" t="n">
        <v>45368</v>
      </c>
      <c r="U19" s="9" t="n">
        <v>45369</v>
      </c>
      <c r="V19" s="9" t="n">
        <v>45370</v>
      </c>
      <c r="W19" s="9" t="n">
        <v>45371</v>
      </c>
      <c r="X19" s="9" t="n">
        <v>45372</v>
      </c>
      <c r="Y19" s="9" t="n">
        <v>45373</v>
      </c>
      <c r="Z19" s="9" t="n">
        <v>45374</v>
      </c>
      <c r="AA19" s="9" t="n">
        <v>45375</v>
      </c>
      <c r="AB19" s="9" t="n">
        <v>45376</v>
      </c>
      <c r="AC19" s="9" t="n">
        <v>45377</v>
      </c>
      <c r="AD19" s="9" t="n">
        <v>45378</v>
      </c>
      <c r="AE19" s="9" t="n">
        <v>45379</v>
      </c>
      <c r="AF19" s="9" t="n">
        <v>45380</v>
      </c>
      <c r="AG19" s="9" t="n">
        <v>45381</v>
      </c>
      <c r="AH19" s="9" t="n">
        <v>45382</v>
      </c>
      <c r="AI19" s="4" t="n"/>
    </row>
    <row r="20" hidden="1" ht="15.75" customHeight="1" s="757">
      <c r="A20" s="10" t="inlineStr">
        <is>
          <t>GOOGLE MATINS</t>
        </is>
      </c>
      <c r="B20" s="11" t="n"/>
      <c r="C20" s="11" t="n"/>
      <c r="D20" s="353" t="n"/>
      <c r="E20" s="119" t="n"/>
      <c r="F20" s="119" t="n"/>
      <c r="G20" s="394" t="inlineStr">
        <is>
          <t>SUBS</t>
        </is>
      </c>
      <c r="H20" s="354" t="n"/>
      <c r="I20" s="405" t="n"/>
      <c r="J20" s="405" t="inlineStr">
        <is>
          <t>SUBS</t>
        </is>
      </c>
      <c r="K20" s="354" t="n"/>
      <c r="L20" s="119" t="n"/>
      <c r="M20" s="119" t="n"/>
      <c r="N20" s="74" t="inlineStr">
        <is>
          <t>UF0351</t>
        </is>
      </c>
      <c r="O20" s="357" t="n"/>
      <c r="P20" s="354" t="inlineStr">
        <is>
          <t>SUB</t>
        </is>
      </c>
      <c r="Q20" s="353" t="n"/>
      <c r="R20" s="353" t="inlineStr">
        <is>
          <t>SUB</t>
        </is>
      </c>
      <c r="S20" s="119" t="n"/>
      <c r="T20" s="119" t="n"/>
      <c r="U20" s="353" t="n"/>
      <c r="V20" s="432" t="inlineStr">
        <is>
          <t>orie</t>
        </is>
      </c>
      <c r="W20" s="370" t="inlineStr">
        <is>
          <t>MF0973RAMON</t>
        </is>
      </c>
      <c r="X20" s="354" t="n"/>
      <c r="Y20" s="354" t="n"/>
      <c r="Z20" s="119" t="n"/>
      <c r="AA20" s="119" t="n"/>
      <c r="AB20" s="350" t="n"/>
      <c r="AC20" s="349" t="n"/>
      <c r="AD20" s="354" t="n"/>
      <c r="AE20" s="354" t="n"/>
      <c r="AF20" s="218" t="n"/>
      <c r="AG20" s="119" t="n"/>
      <c r="AH20" s="119" t="n"/>
      <c r="AI20" s="4" t="n"/>
      <c r="AJ20" s="226">
        <f>AJ12+AI18</f>
        <v/>
      </c>
      <c r="AK20" s="646" t="inlineStr">
        <is>
          <t>0208 CEN</t>
        </is>
      </c>
    </row>
    <row r="21" hidden="1" ht="16.5" customHeight="1" s="757" thickBot="1">
      <c r="A21" s="14" t="inlineStr">
        <is>
          <t>FIREFOX MATINS</t>
        </is>
      </c>
      <c r="B21" s="15" t="n"/>
      <c r="C21" s="15" t="n"/>
      <c r="D21" s="369" t="inlineStr">
        <is>
          <t>8 - MARIA MATEU</t>
        </is>
      </c>
      <c r="E21" s="35" t="n"/>
      <c r="F21" s="35" t="n"/>
      <c r="G21" s="176" t="n"/>
      <c r="H21" s="176" t="n"/>
      <c r="I21" s="176" t="n"/>
      <c r="J21" s="176" t="n"/>
      <c r="K21" s="176" t="n"/>
      <c r="L21" s="35" t="n"/>
      <c r="M21" s="35" t="n"/>
      <c r="N21" s="176" t="n"/>
      <c r="O21" s="176" t="n"/>
      <c r="P21" s="176" t="n"/>
      <c r="Q21" s="176" t="n"/>
      <c r="R21" s="438" t="inlineStr">
        <is>
          <t>3vam</t>
        </is>
      </c>
      <c r="S21" s="35" t="n"/>
      <c r="T21" s="35" t="n"/>
      <c r="U21" s="438" t="inlineStr">
        <is>
          <t>3vam</t>
        </is>
      </c>
      <c r="V21" s="429" t="n">
        <v>10</v>
      </c>
      <c r="W21" s="176" t="inlineStr">
        <is>
          <t>MARIA</t>
        </is>
      </c>
      <c r="X21" s="430" t="n"/>
      <c r="Y21" s="431" t="n"/>
      <c r="Z21" s="35" t="n"/>
      <c r="AA21" s="35" t="n"/>
      <c r="AB21" s="176" t="n"/>
      <c r="AC21" s="176" t="n"/>
      <c r="AD21" s="176" t="n"/>
      <c r="AE21" s="176" t="n"/>
      <c r="AF21" s="27" t="n"/>
      <c r="AG21" s="35" t="n"/>
      <c r="AH21" s="35" t="n"/>
      <c r="AI21" s="4" t="n"/>
      <c r="AK21" s="664" t="inlineStr">
        <is>
          <t>8 FCOI14 - CV</t>
        </is>
      </c>
      <c r="AN21" s="664" t="inlineStr">
        <is>
          <t>10-IFCM_IT02 (5H)</t>
        </is>
      </c>
      <c r="AT21" s="394" t="inlineStr">
        <is>
          <t>3 VAM</t>
        </is>
      </c>
    </row>
    <row r="22" hidden="1" ht="21.75" customHeight="1" s="757" thickTop="1">
      <c r="A22" s="17" t="inlineStr">
        <is>
          <t>GOOGLE TARDA</t>
        </is>
      </c>
      <c r="B22" s="18" t="n"/>
      <c r="C22" s="18" t="n"/>
      <c r="D22" s="439" t="n">
        <v>9</v>
      </c>
      <c r="E22" s="39" t="n"/>
      <c r="F22" s="39" t="n"/>
      <c r="G22" s="435" t="n"/>
      <c r="H22" s="48" t="n"/>
      <c r="I22" s="48" t="n"/>
      <c r="J22" s="48" t="n"/>
      <c r="K22" s="435" t="n"/>
      <c r="L22" s="39" t="n"/>
      <c r="M22" s="39" t="n"/>
      <c r="N22" s="436" t="n"/>
      <c r="O22" s="437" t="n"/>
      <c r="P22" s="437" t="n"/>
      <c r="Q22" s="756" t="n"/>
      <c r="R22" s="755" t="n"/>
      <c r="S22" s="24" t="n"/>
      <c r="T22" s="24" t="n"/>
      <c r="U22" s="755" t="n"/>
      <c r="V22" s="755" t="n"/>
      <c r="W22" s="755" t="n"/>
      <c r="X22" s="755" t="n"/>
      <c r="Z22" s="393" t="n"/>
      <c r="AA22" s="392" t="n"/>
      <c r="AB22" s="398" t="n"/>
      <c r="AC22" s="416" t="n"/>
      <c r="AD22" s="755" t="n"/>
      <c r="AE22" s="755" t="n"/>
      <c r="AF22" s="28" t="n"/>
      <c r="AG22" s="39" t="n"/>
      <c r="AH22" s="39" t="n"/>
      <c r="AI22" s="140" t="n"/>
      <c r="AJ22" s="268" t="n"/>
      <c r="AK22" s="56" t="inlineStr">
        <is>
          <t>9-FCOI25 MIG</t>
        </is>
      </c>
      <c r="AL22" s="56" t="n"/>
      <c r="AM22" s="56" t="n"/>
      <c r="AO22" s="667" t="inlineStr">
        <is>
          <t>(EXAMEN)</t>
        </is>
      </c>
      <c r="AP22" s="667" t="n"/>
    </row>
    <row r="23" hidden="1" ht="15.75" customHeight="1" s="757">
      <c r="A23" s="10" t="inlineStr">
        <is>
          <t>FIREFOX TARDA</t>
        </is>
      </c>
      <c r="B23" s="11" t="n"/>
      <c r="C23" s="11" t="n"/>
      <c r="D23" s="756" t="n"/>
      <c r="E23" s="24" t="n"/>
      <c r="F23" s="24" t="n"/>
      <c r="G23" s="756" t="n"/>
      <c r="H23" s="756" t="n"/>
      <c r="I23" s="756" t="n"/>
      <c r="J23" s="755" t="n"/>
      <c r="K23" s="756" t="n"/>
      <c r="L23" s="24" t="n"/>
      <c r="M23" s="24" t="n"/>
      <c r="O23" s="755" t="n"/>
      <c r="P23" s="756" t="n"/>
      <c r="Q23" s="756" t="n"/>
      <c r="R23" s="756" t="n"/>
      <c r="S23" s="756" t="n"/>
      <c r="T23" s="756" t="n"/>
      <c r="V23" s="530" t="n"/>
      <c r="W23" s="756" t="n"/>
      <c r="X23" s="756" t="n"/>
      <c r="Y23" s="756" t="n"/>
      <c r="Z23" s="24" t="n"/>
      <c r="AA23" s="24" t="n"/>
      <c r="AB23" s="400" t="n"/>
      <c r="AC23" s="530" t="n"/>
      <c r="AD23" s="530" t="n"/>
      <c r="AE23" s="756" t="n"/>
      <c r="AF23" s="26" t="n"/>
      <c r="AG23" s="24" t="n"/>
      <c r="AH23" s="24" t="n"/>
      <c r="AI23" s="4" t="n"/>
      <c r="AJ23" t="n">
        <v>8</v>
      </c>
      <c r="AK23" s="663" t="inlineStr">
        <is>
          <t>005 -IMPE0108 (5,5H)</t>
        </is>
      </c>
      <c r="AS23" s="775" t="n"/>
    </row>
    <row r="24" hidden="1" ht="15.75" customHeight="1" s="757">
      <c r="A24" s="10" t="inlineStr">
        <is>
          <t>TARRAGONA mati</t>
        </is>
      </c>
      <c r="B24" s="11" t="n"/>
      <c r="C24" s="11" t="n"/>
      <c r="D24" s="756" t="n"/>
      <c r="E24" s="24" t="n"/>
      <c r="F24" s="24" t="n"/>
      <c r="G24" s="289" t="inlineStr">
        <is>
          <t>RAF</t>
        </is>
      </c>
      <c r="H24" s="756" t="n"/>
      <c r="J24" s="406" t="inlineStr">
        <is>
          <t>TEAMS</t>
        </is>
      </c>
      <c r="K24" s="756" t="n"/>
      <c r="L24" s="24" t="n"/>
      <c r="M24" s="24" t="n"/>
      <c r="N24" s="406" t="inlineStr">
        <is>
          <t>TEAMS</t>
        </is>
      </c>
      <c r="O24" s="756" t="n"/>
      <c r="P24" s="549" t="inlineStr">
        <is>
          <t>ACTIC</t>
        </is>
      </c>
      <c r="Q24" s="756" t="n"/>
      <c r="R24" s="549" t="inlineStr">
        <is>
          <t>ACTIC</t>
        </is>
      </c>
      <c r="S24" s="24" t="n"/>
      <c r="T24" s="24" t="n"/>
      <c r="U24" s="756" t="n"/>
      <c r="V24" s="549" t="inlineStr">
        <is>
          <t>ACT</t>
        </is>
      </c>
      <c r="W24" s="756" t="n"/>
      <c r="X24" s="549" t="inlineStr">
        <is>
          <t>ACT</t>
        </is>
      </c>
      <c r="Y24" s="756" t="n"/>
      <c r="Z24" s="24" t="n"/>
      <c r="AA24" s="24" t="n"/>
      <c r="AB24" s="449" t="inlineStr">
        <is>
          <t>SHARE</t>
        </is>
      </c>
      <c r="AC24" s="549" t="inlineStr">
        <is>
          <t>ACT</t>
        </is>
      </c>
      <c r="AD24" s="756" t="n"/>
      <c r="AE24" s="756" t="n"/>
      <c r="AF24" s="26" t="n"/>
      <c r="AG24" s="24" t="n"/>
      <c r="AH24" s="24" t="n"/>
      <c r="AI24" s="4" t="n"/>
      <c r="AK24" s="550" t="inlineStr">
        <is>
          <t>EAPC - 10106 TEAMS I OUTLOOK</t>
        </is>
      </c>
      <c r="AL24" s="289" t="n"/>
      <c r="AM24" s="289" t="n"/>
      <c r="AN24" s="289" t="n"/>
      <c r="AQ24" s="551" t="inlineStr">
        <is>
          <t>10103 EAPC - ACTIC M</t>
        </is>
      </c>
    </row>
    <row r="25" hidden="1" ht="15.75" customHeight="1" s="757">
      <c r="A25" s="10" t="inlineStr">
        <is>
          <t>TARRAGONA tarda</t>
        </is>
      </c>
      <c r="B25" s="11" t="n"/>
      <c r="C25" s="11" t="n"/>
      <c r="D25" s="756" t="n"/>
      <c r="E25" s="24" t="n"/>
      <c r="F25" s="24" t="n"/>
      <c r="G25" s="756" t="n"/>
      <c r="H25" s="756" t="n"/>
      <c r="I25" s="756" t="n"/>
      <c r="J25" s="756" t="n"/>
      <c r="K25" s="756" t="n"/>
      <c r="L25" s="24" t="n"/>
      <c r="M25" s="24" t="n"/>
      <c r="N25" s="756" t="n"/>
      <c r="O25" s="756" t="n"/>
      <c r="P25" s="756" t="n"/>
      <c r="Q25" s="756" t="n"/>
      <c r="R25" s="756" t="n"/>
      <c r="S25" s="24" t="n"/>
      <c r="T25" s="24" t="n"/>
      <c r="U25" s="756" t="n"/>
      <c r="V25" s="756" t="n"/>
      <c r="W25" s="756" t="n"/>
      <c r="X25" s="756" t="n"/>
      <c r="Y25" s="756" t="n"/>
      <c r="Z25" s="24" t="n"/>
      <c r="AA25" s="24" t="n"/>
      <c r="AB25" s="756" t="n"/>
      <c r="AC25" s="756" t="n"/>
      <c r="AD25" s="756" t="n"/>
      <c r="AE25" s="756" t="n"/>
      <c r="AF25" s="26" t="n"/>
      <c r="AG25" s="24" t="n"/>
      <c r="AH25" s="24" t="n"/>
      <c r="AI25" s="4" t="n"/>
      <c r="AK25" s="552" t="n"/>
    </row>
    <row r="26" hidden="1" ht="18.75" customFormat="1" customHeight="1" s="4">
      <c r="A26" s="788" t="inlineStr">
        <is>
          <t>ABRIL</t>
        </is>
      </c>
      <c r="B26" s="156" t="n"/>
      <c r="C26" s="156" t="n"/>
      <c r="D26" s="156" t="n"/>
      <c r="E26" s="156" t="n"/>
      <c r="F26" s="156" t="n"/>
      <c r="G26" s="156" t="n"/>
      <c r="H26" s="156" t="n"/>
      <c r="I26" s="156" t="n"/>
      <c r="J26" s="156" t="n"/>
      <c r="K26" s="156" t="n"/>
      <c r="L26" s="156" t="n"/>
      <c r="M26" s="156" t="n"/>
      <c r="N26" s="156" t="n"/>
      <c r="O26" s="156" t="n"/>
      <c r="P26" s="156" t="n"/>
      <c r="Q26" s="156" t="n"/>
      <c r="R26" s="156" t="n"/>
      <c r="S26" s="156" t="n"/>
      <c r="T26" s="156" t="n"/>
      <c r="U26" s="156" t="n"/>
      <c r="V26" s="156" t="n"/>
      <c r="W26" s="156" t="n"/>
      <c r="X26" s="156" t="n"/>
      <c r="Y26" s="156" t="n"/>
      <c r="Z26" s="156" t="n"/>
      <c r="AA26" s="156" t="n"/>
      <c r="AB26" s="156" t="n"/>
      <c r="AC26" s="156" t="n"/>
      <c r="AD26" s="156" t="n"/>
      <c r="AE26" s="156" t="n"/>
      <c r="AF26" s="156" t="n"/>
      <c r="AG26" s="156" t="n"/>
      <c r="AH26" s="142" t="n"/>
      <c r="AI26" s="524" t="n">
        <v>21</v>
      </c>
      <c r="AJ26" s="59">
        <f>AJ18+21</f>
        <v/>
      </c>
      <c r="AR26" s="289" t="n"/>
    </row>
    <row r="27" hidden="1" ht="65.25" customFormat="1" customHeight="1" s="5">
      <c r="A27" s="7" t="inlineStr">
        <is>
          <t>AULA</t>
        </is>
      </c>
      <c r="B27" s="8" t="inlineStr">
        <is>
          <t>INICI</t>
        </is>
      </c>
      <c r="C27" s="8" t="inlineStr">
        <is>
          <t>FINAL</t>
        </is>
      </c>
      <c r="D27" s="9" t="n">
        <v>45383</v>
      </c>
      <c r="E27" s="9" t="n">
        <v>45384</v>
      </c>
      <c r="F27" s="9" t="n">
        <v>45385</v>
      </c>
      <c r="G27" s="9" t="n">
        <v>45386</v>
      </c>
      <c r="H27" s="9" t="n">
        <v>45387</v>
      </c>
      <c r="I27" s="9" t="n">
        <v>45388</v>
      </c>
      <c r="J27" s="9" t="n">
        <v>45389</v>
      </c>
      <c r="K27" s="411" t="n">
        <v>45390</v>
      </c>
      <c r="L27" s="411" t="n">
        <v>45391</v>
      </c>
      <c r="M27" s="9" t="n">
        <v>45392</v>
      </c>
      <c r="N27" s="9" t="n">
        <v>45393</v>
      </c>
      <c r="O27" s="9" t="n">
        <v>45394</v>
      </c>
      <c r="P27" s="9" t="n">
        <v>45395</v>
      </c>
      <c r="Q27" s="448" t="n">
        <v>45396</v>
      </c>
      <c r="R27" s="448" t="n">
        <v>45397</v>
      </c>
      <c r="S27" s="448" t="n">
        <v>45398</v>
      </c>
      <c r="T27" s="448" t="n">
        <v>45399</v>
      </c>
      <c r="U27" s="9" t="n">
        <v>45400</v>
      </c>
      <c r="V27" s="9" t="n">
        <v>45401</v>
      </c>
      <c r="W27" s="9" t="n">
        <v>45402</v>
      </c>
      <c r="X27" s="9" t="n">
        <v>45403</v>
      </c>
      <c r="Y27" s="9" t="n">
        <v>45404</v>
      </c>
      <c r="Z27" s="9" t="n">
        <v>45405</v>
      </c>
      <c r="AA27" s="9" t="n">
        <v>45406</v>
      </c>
      <c r="AB27" s="9" t="n">
        <v>45407</v>
      </c>
      <c r="AC27" s="9" t="n">
        <v>45408</v>
      </c>
      <c r="AD27" s="9" t="n">
        <v>45409</v>
      </c>
      <c r="AE27" s="9" t="n">
        <v>45410</v>
      </c>
      <c r="AF27" s="9" t="n">
        <v>45411</v>
      </c>
      <c r="AG27" s="9" t="n">
        <v>45412</v>
      </c>
      <c r="AH27" s="9" t="n"/>
      <c r="AI27" s="4" t="n"/>
      <c r="AJ27" s="242" t="n"/>
      <c r="AK27" s="681" t="inlineStr">
        <is>
          <t>AUDITORIA ISO</t>
        </is>
      </c>
      <c r="AN27" s="243" t="n"/>
      <c r="AO27" s="243" t="n"/>
      <c r="AP27" s="243" t="n"/>
      <c r="AQ27" s="243" t="n"/>
      <c r="AR27" s="243" t="n"/>
      <c r="AS27" s="243" t="n"/>
      <c r="AT27" s="243" t="n"/>
      <c r="AU27" s="243" t="n"/>
      <c r="AV27" s="243" t="n"/>
    </row>
    <row r="28" hidden="1" ht="21" customHeight="1" s="757">
      <c r="A28" s="10" t="inlineStr">
        <is>
          <t>GOOGLE MATINS</t>
        </is>
      </c>
      <c r="B28" s="11" t="n"/>
      <c r="C28" s="11" t="n"/>
      <c r="D28" s="26" t="n"/>
      <c r="E28" s="69" t="n"/>
      <c r="F28" s="69" t="n"/>
      <c r="G28" s="69" t="n"/>
      <c r="H28" s="69" t="n"/>
      <c r="I28" s="219" t="n"/>
      <c r="J28" s="219" t="n"/>
      <c r="K28" s="69" t="n"/>
      <c r="L28" s="69" t="n"/>
      <c r="M28" s="69" t="n"/>
      <c r="N28" s="553" t="inlineStr">
        <is>
          <t xml:space="preserve">MF0977 Luna </t>
        </is>
      </c>
      <c r="O28" s="357" t="n"/>
      <c r="P28" s="554" t="n"/>
      <c r="Q28" s="24" t="n"/>
      <c r="R28" s="518" t="n"/>
      <c r="S28" s="69" t="n"/>
      <c r="T28" s="69" t="n"/>
      <c r="U28" s="433" t="n"/>
      <c r="V28" s="433" t="n"/>
      <c r="W28" s="24" t="n"/>
      <c r="X28" s="24" t="n"/>
      <c r="Y28" s="69" t="n"/>
      <c r="Z28" s="69" t="n"/>
      <c r="AA28" s="433" t="n"/>
      <c r="AB28" s="356" t="n"/>
      <c r="AC28" s="356" t="n"/>
      <c r="AD28" s="300" t="n"/>
      <c r="AE28" s="301" t="n"/>
      <c r="AF28" s="356" t="n"/>
      <c r="AG28" s="518" t="n"/>
      <c r="AH28" s="756" t="n"/>
      <c r="AI28" s="4" t="n"/>
      <c r="AJ28" s="256">
        <f>AJ20+AI26</f>
        <v/>
      </c>
      <c r="AK28" s="646" t="inlineStr">
        <is>
          <t>0208 CEN</t>
        </is>
      </c>
      <c r="AN28" s="775" t="n"/>
      <c r="AO28" s="228" t="n"/>
    </row>
    <row r="29" hidden="1" ht="21.75" customHeight="1" s="757" thickBot="1">
      <c r="A29" s="14" t="inlineStr">
        <is>
          <t>FIREFOX MATINS</t>
        </is>
      </c>
      <c r="B29" s="15" t="n"/>
      <c r="C29" s="15" t="n"/>
      <c r="D29" s="27" t="n"/>
      <c r="E29" s="239" t="n">
        <v>11</v>
      </c>
      <c r="F29" s="239" t="inlineStr">
        <is>
          <t>MARIA</t>
        </is>
      </c>
      <c r="G29" s="239" t="n"/>
      <c r="H29" s="239" t="n"/>
      <c r="I29" s="235" t="n"/>
      <c r="J29" s="235" t="n"/>
      <c r="K29" s="239" t="n"/>
      <c r="L29" s="239" t="n"/>
      <c r="M29" s="239" t="n"/>
      <c r="N29" s="234" t="n"/>
      <c r="O29" s="375" t="n"/>
      <c r="P29" s="126" t="n"/>
      <c r="Q29" s="126" t="n"/>
      <c r="R29" s="234" t="n"/>
      <c r="S29" s="234" t="n"/>
      <c r="T29" s="234" t="n"/>
      <c r="U29" s="555" t="inlineStr">
        <is>
          <t>MF0344</t>
        </is>
      </c>
      <c r="V29" s="234" t="n"/>
      <c r="W29" s="126" t="n"/>
      <c r="X29" s="126" t="n"/>
      <c r="Y29" s="234" t="n"/>
      <c r="Z29" s="234" t="n"/>
      <c r="AA29" s="234" t="n"/>
      <c r="AB29" s="234" t="n"/>
      <c r="AC29" s="234" t="n"/>
      <c r="AD29" s="126" t="n"/>
      <c r="AE29" s="126" t="n"/>
      <c r="AF29" s="234" t="n"/>
      <c r="AG29" s="234" t="n"/>
      <c r="AH29" s="130" t="n"/>
      <c r="AI29" s="4" t="n"/>
      <c r="AJ29" s="444" t="n">
        <v>14</v>
      </c>
      <c r="AK29" s="664" t="inlineStr">
        <is>
          <t>11-ADGD56 2ºED</t>
        </is>
      </c>
      <c r="AN29" s="663" t="inlineStr">
        <is>
          <t>005 -IMPE0108 (5,5H)</t>
        </is>
      </c>
    </row>
    <row r="30" hidden="1" ht="16.5" customHeight="1" s="757">
      <c r="A30" s="17" t="inlineStr">
        <is>
          <t>GOOGLE TARDA</t>
        </is>
      </c>
      <c r="B30" s="18" t="n"/>
      <c r="C30" s="18" t="n"/>
      <c r="D30" s="28" t="n"/>
      <c r="E30" s="755" t="n"/>
      <c r="F30" s="556" t="inlineStr">
        <is>
          <t>015 - FCOI11</t>
        </is>
      </c>
      <c r="G30" s="556" t="n"/>
      <c r="H30" s="424" t="n"/>
      <c r="I30" s="219" t="n"/>
      <c r="J30" s="219" t="n"/>
      <c r="K30" s="523" t="n"/>
      <c r="L30" s="51" t="n"/>
      <c r="M30" s="415" t="inlineStr">
        <is>
          <t>4vam</t>
        </is>
      </c>
      <c r="N30" s="523" t="n"/>
      <c r="O30" s="51" t="n"/>
      <c r="P30" s="24" t="n"/>
      <c r="Q30" s="24" t="n"/>
      <c r="R30" s="51" t="n"/>
      <c r="S30" s="414" t="n"/>
      <c r="T30" s="414" t="n"/>
      <c r="U30" s="423" t="inlineStr">
        <is>
          <t>COACHING</t>
        </is>
      </c>
      <c r="V30" s="423" t="n"/>
      <c r="W30" s="24" t="n"/>
      <c r="X30" s="24" t="n"/>
      <c r="Y30" s="33" t="inlineStr">
        <is>
          <t>C</t>
        </is>
      </c>
      <c r="Z30" s="423" t="n"/>
      <c r="AA30" s="423" t="n"/>
      <c r="AB30" s="423" t="n"/>
      <c r="AC30" s="33" t="n"/>
      <c r="AD30" s="24" t="n"/>
      <c r="AE30" s="24" t="n"/>
      <c r="AF30" s="33" t="n"/>
      <c r="AG30" s="33" t="n"/>
      <c r="AH30" s="755" t="n"/>
      <c r="AI30" s="140" t="n"/>
      <c r="AK30" s="440" t="inlineStr">
        <is>
          <t>015- FCOI11ACTIC MIT- FOAP(5 H)</t>
        </is>
      </c>
      <c r="AL30" s="523" t="n"/>
      <c r="AM30" s="523" t="n"/>
      <c r="AN30" s="523" t="n"/>
      <c r="AO30" s="51" t="n"/>
      <c r="AP30" s="51" t="n"/>
      <c r="AQ30" s="440" t="n"/>
      <c r="AR30" s="441" t="n"/>
      <c r="AS30" s="394" t="inlineStr">
        <is>
          <t>4 VAM</t>
        </is>
      </c>
      <c r="AT30" s="441" t="n"/>
      <c r="AX30" s="116" t="n"/>
      <c r="AY30" s="116" t="n"/>
    </row>
    <row r="31" hidden="1" ht="15.75" customHeight="1" s="757">
      <c r="A31" s="10" t="inlineStr">
        <is>
          <t>FIREFOX TARDA</t>
        </is>
      </c>
      <c r="B31" s="11" t="n"/>
      <c r="C31" s="11" t="n"/>
      <c r="D31" s="26" t="n"/>
      <c r="E31" s="756" t="n"/>
      <c r="F31" s="756" t="n"/>
      <c r="G31" s="756" t="n"/>
      <c r="H31" s="557" t="inlineStr">
        <is>
          <t>ELOI</t>
        </is>
      </c>
      <c r="I31" s="79" t="n"/>
      <c r="J31" s="24" t="n"/>
      <c r="K31" s="756" t="n"/>
      <c r="L31" s="756" t="n"/>
      <c r="M31" s="756" t="n"/>
      <c r="N31" s="756" t="n"/>
      <c r="O31" s="756" t="n"/>
      <c r="P31" s="24" t="n"/>
      <c r="Q31" s="24" t="n"/>
      <c r="R31" s="756" t="n"/>
      <c r="S31" s="756" t="n"/>
      <c r="T31" s="756" t="n"/>
      <c r="U31" s="756" t="n"/>
      <c r="V31" s="756" t="n"/>
      <c r="W31" s="79" t="n"/>
      <c r="X31" s="24" t="n"/>
      <c r="Z31" s="756" t="n"/>
      <c r="AA31" s="756" t="n"/>
      <c r="AB31" s="530" t="inlineStr">
        <is>
          <t>EX.acTIC</t>
        </is>
      </c>
      <c r="AD31" s="24" t="n"/>
      <c r="AE31" s="24" t="n"/>
      <c r="AF31" s="756" t="n"/>
      <c r="AG31" s="756" t="n"/>
      <c r="AH31" s="756" t="n"/>
      <c r="AI31" s="4" t="n"/>
      <c r="AJ31">
        <f>AJ23+AI34</f>
        <v/>
      </c>
      <c r="AK31" s="663" t="inlineStr">
        <is>
          <t>005 -IMPE0108 (5,5H)</t>
        </is>
      </c>
      <c r="AP31" s="796" t="inlineStr">
        <is>
          <t>ELOI</t>
        </is>
      </c>
      <c r="AQ31" s="142" t="n"/>
      <c r="AS31" s="775" t="inlineStr">
        <is>
          <t>EX. acTIC pdt. Conf.</t>
        </is>
      </c>
    </row>
    <row r="32" hidden="1" ht="15.75" customHeight="1" s="757">
      <c r="A32" s="10" t="inlineStr">
        <is>
          <t>TARRAGONA mati</t>
        </is>
      </c>
      <c r="B32" s="11" t="n"/>
      <c r="C32" s="11" t="n"/>
      <c r="D32" s="26" t="n"/>
      <c r="E32" s="756" t="n"/>
      <c r="F32" s="755" t="n"/>
      <c r="G32" s="755" t="n"/>
      <c r="H32" s="755" t="n"/>
      <c r="I32" s="219" t="n"/>
      <c r="J32" s="219" t="n"/>
      <c r="L32" s="755" t="n"/>
      <c r="M32" s="755" t="n"/>
      <c r="N32" s="756" t="n"/>
      <c r="O32" s="756" t="n"/>
      <c r="P32" s="24" t="n"/>
      <c r="Q32" s="24" t="n"/>
      <c r="R32" s="289" t="inlineStr">
        <is>
          <t>RAF</t>
        </is>
      </c>
      <c r="S32" s="755" t="n"/>
      <c r="U32" s="755" t="n"/>
      <c r="V32" s="755" t="n"/>
      <c r="W32" s="24" t="n"/>
      <c r="X32" s="24" t="n"/>
      <c r="Y32" s="43" t="inlineStr">
        <is>
          <t>RAF</t>
        </is>
      </c>
      <c r="Z32" s="755" t="n"/>
      <c r="AA32" s="755" t="n"/>
      <c r="AB32" s="755" t="n"/>
      <c r="AC32" s="756" t="n"/>
      <c r="AD32" s="24" t="n"/>
      <c r="AE32" s="24" t="n"/>
      <c r="AG32" s="755" t="n"/>
      <c r="AH32" s="756" t="n"/>
      <c r="AI32" s="4" t="n"/>
      <c r="AK32" s="289" t="inlineStr">
        <is>
          <t>EAPC -ONEDRIVE</t>
        </is>
      </c>
      <c r="AL32" s="289" t="n"/>
      <c r="AO32" s="289" t="inlineStr">
        <is>
          <t>EAPC- ONE NOTE</t>
        </is>
      </c>
      <c r="AP32" s="289" t="n"/>
    </row>
    <row r="33" hidden="1" ht="15.75" customHeight="1" s="757">
      <c r="A33" s="10" t="inlineStr">
        <is>
          <t>TARRAGONA tarda</t>
        </is>
      </c>
      <c r="B33" s="11" t="n"/>
      <c r="C33" s="11" t="n"/>
      <c r="D33" s="26" t="n"/>
      <c r="E33" s="756" t="n"/>
      <c r="F33" s="756" t="n"/>
      <c r="G33" s="756" t="n"/>
      <c r="H33" s="756" t="n"/>
      <c r="I33" s="219" t="n"/>
      <c r="J33" s="219" t="n"/>
      <c r="K33" s="756" t="n"/>
      <c r="L33" s="756" t="n"/>
      <c r="M33" s="558" t="inlineStr">
        <is>
          <t>examen acti eapc</t>
        </is>
      </c>
      <c r="N33" s="756" t="n"/>
      <c r="O33" s="756" t="n"/>
      <c r="P33" s="24" t="n"/>
      <c r="Q33" s="24" t="n"/>
      <c r="R33" s="756" t="n"/>
      <c r="S33" s="756" t="n"/>
      <c r="T33" s="756" t="n"/>
      <c r="U33" s="756" t="n"/>
      <c r="V33" s="756" t="n"/>
      <c r="W33" s="24" t="n"/>
      <c r="X33" s="24" t="n"/>
      <c r="Y33" s="756" t="n"/>
      <c r="Z33" s="756" t="n"/>
      <c r="AA33" s="756" t="n"/>
      <c r="AB33" s="756" t="n"/>
      <c r="AC33" s="756" t="n"/>
      <c r="AD33" s="24" t="n"/>
      <c r="AE33" s="24" t="n"/>
      <c r="AF33" s="756" t="n"/>
      <c r="AG33" s="756" t="n"/>
      <c r="AH33" s="756" t="n"/>
      <c r="AI33" s="4" t="n"/>
      <c r="AK33" s="541" t="inlineStr">
        <is>
          <t>exam actic eapc</t>
        </is>
      </c>
    </row>
    <row r="34" hidden="1" ht="18.75" customFormat="1" customHeight="1" s="4">
      <c r="A34" s="788" t="inlineStr">
        <is>
          <t>MAIG</t>
        </is>
      </c>
      <c r="B34" s="156" t="n"/>
      <c r="C34" s="156" t="n"/>
      <c r="D34" s="156" t="n"/>
      <c r="E34" s="156" t="n"/>
      <c r="F34" s="156" t="n"/>
      <c r="G34" s="156" t="n"/>
      <c r="H34" s="156" t="n"/>
      <c r="I34" s="156" t="n"/>
      <c r="J34" s="156" t="n"/>
      <c r="K34" s="156" t="n"/>
      <c r="L34" s="156" t="n"/>
      <c r="M34" s="156" t="n"/>
      <c r="N34" s="156" t="n"/>
      <c r="O34" s="156" t="n"/>
      <c r="P34" s="156" t="n"/>
      <c r="Q34" s="156" t="n"/>
      <c r="R34" s="156" t="n"/>
      <c r="S34" s="156" t="n"/>
      <c r="T34" s="156" t="n"/>
      <c r="U34" s="156" t="n"/>
      <c r="V34" s="156" t="n"/>
      <c r="W34" s="156" t="n"/>
      <c r="X34" s="156" t="n"/>
      <c r="Y34" s="156" t="n"/>
      <c r="Z34" s="156" t="n"/>
      <c r="AA34" s="156" t="n"/>
      <c r="AB34" s="156" t="n"/>
      <c r="AC34" s="156" t="n"/>
      <c r="AD34" s="156" t="n"/>
      <c r="AE34" s="156" t="n"/>
      <c r="AF34" s="156" t="n"/>
      <c r="AG34" s="156" t="n"/>
      <c r="AH34" s="142" t="n"/>
      <c r="AI34" s="524" t="n">
        <v>21</v>
      </c>
      <c r="AJ34">
        <f>AJ26+AI34</f>
        <v/>
      </c>
    </row>
    <row r="35" hidden="1" ht="64.5" customHeight="1" s="757">
      <c r="A35" s="7" t="inlineStr">
        <is>
          <t>AULA</t>
        </is>
      </c>
      <c r="B35" s="8" t="inlineStr">
        <is>
          <t>INICI</t>
        </is>
      </c>
      <c r="C35" s="8" t="inlineStr">
        <is>
          <t>FINAL</t>
        </is>
      </c>
      <c r="D35" s="171" t="n">
        <v>45413</v>
      </c>
      <c r="E35" s="171" t="n">
        <v>45414</v>
      </c>
      <c r="F35" s="171" t="n">
        <v>45415</v>
      </c>
      <c r="G35" s="171" t="n">
        <v>45416</v>
      </c>
      <c r="H35" s="171" t="n">
        <v>45417</v>
      </c>
      <c r="I35" s="171" t="n">
        <v>45418</v>
      </c>
      <c r="J35" s="171" t="n">
        <v>45053</v>
      </c>
      <c r="K35" s="171" t="n">
        <v>45420</v>
      </c>
      <c r="L35" s="171" t="n">
        <v>45421</v>
      </c>
      <c r="M35" s="171" t="n">
        <v>45422</v>
      </c>
      <c r="N35" s="171" t="n">
        <v>45423</v>
      </c>
      <c r="O35" s="171" t="n">
        <v>45424</v>
      </c>
      <c r="P35" s="221" t="n">
        <v>45425</v>
      </c>
      <c r="Q35" s="221" t="n">
        <v>45426</v>
      </c>
      <c r="R35" s="221" t="n">
        <v>45427</v>
      </c>
      <c r="S35" s="221" t="n">
        <v>45428</v>
      </c>
      <c r="T35" s="171" t="n">
        <v>45429</v>
      </c>
      <c r="U35" s="171" t="n">
        <v>45430</v>
      </c>
      <c r="V35" s="171" t="n">
        <v>45431</v>
      </c>
      <c r="W35" s="171" t="n">
        <v>45432</v>
      </c>
      <c r="X35" s="171" t="n">
        <v>45433</v>
      </c>
      <c r="Y35" s="171" t="n">
        <v>45434</v>
      </c>
      <c r="Z35" s="171" t="n">
        <v>45435</v>
      </c>
      <c r="AA35" s="171" t="n">
        <v>45436</v>
      </c>
      <c r="AB35" s="171" t="n">
        <v>45437</v>
      </c>
      <c r="AC35" s="171" t="n">
        <v>45438</v>
      </c>
      <c r="AD35" s="171" t="n">
        <v>45439</v>
      </c>
      <c r="AE35" s="171" t="n">
        <v>45440</v>
      </c>
      <c r="AF35" s="171" t="n">
        <v>45441</v>
      </c>
      <c r="AG35" s="171" t="n">
        <v>45442</v>
      </c>
      <c r="AH35" s="171" t="n">
        <v>45443</v>
      </c>
      <c r="AI35" s="4" t="n"/>
    </row>
    <row r="36" hidden="1" ht="19.5" customHeight="1" s="757">
      <c r="A36" s="10" t="inlineStr">
        <is>
          <t>GOOGLE MATINS</t>
        </is>
      </c>
      <c r="B36" s="11" t="n"/>
      <c r="C36" s="11" t="n"/>
      <c r="D36" s="26" t="n"/>
      <c r="E36" s="518" t="inlineStr">
        <is>
          <t>UF0322 Maria</t>
        </is>
      </c>
      <c r="F36" s="378" t="n"/>
      <c r="G36" s="24" t="n"/>
      <c r="H36" s="300" t="n"/>
      <c r="I36" s="433" t="n"/>
      <c r="J36" s="349" t="n"/>
      <c r="K36" s="419" t="n"/>
      <c r="L36" s="349" t="n"/>
      <c r="M36" s="518" t="n"/>
      <c r="N36" s="24" t="n"/>
      <c r="O36" s="300" t="n"/>
      <c r="P36" s="518" t="inlineStr">
        <is>
          <t>rafa</t>
        </is>
      </c>
      <c r="Q36" s="453" t="inlineStr">
        <is>
          <t>UF 0321 MIGUEL ANGEL</t>
        </is>
      </c>
      <c r="R36" s="354" t="n"/>
      <c r="S36" s="69" t="n"/>
      <c r="T36" s="69" t="n"/>
      <c r="U36" s="24" t="n"/>
      <c r="V36" s="300" t="n"/>
      <c r="W36" s="69" t="n"/>
      <c r="X36" s="69" t="n"/>
      <c r="Y36" s="434" t="n"/>
      <c r="Z36" s="349" t="n"/>
      <c r="AA36" s="518" t="inlineStr">
        <is>
          <t>UF0319</t>
        </is>
      </c>
      <c r="AB36" s="24" t="n"/>
      <c r="AC36" s="24" t="n"/>
      <c r="AD36" s="355" t="n"/>
      <c r="AE36" s="355" t="n"/>
      <c r="AF36" s="355" t="n"/>
      <c r="AG36" s="350" t="n"/>
      <c r="AH36" s="454" t="inlineStr">
        <is>
          <t>UF0320</t>
        </is>
      </c>
      <c r="AI36" s="4" t="n"/>
      <c r="AJ36" s="446">
        <f>AJ28+AI34</f>
        <v/>
      </c>
      <c r="AK36" s="646" t="inlineStr">
        <is>
          <t>0208 CEN</t>
        </is>
      </c>
      <c r="AN36" s="775" t="n"/>
      <c r="AQ36" s="447" t="n"/>
      <c r="AU36" s="775" t="n"/>
    </row>
    <row r="37" hidden="1" ht="19.5" customHeight="1" s="757">
      <c r="A37" s="14" t="inlineStr">
        <is>
          <t>FIREFOX MATINS</t>
        </is>
      </c>
      <c r="B37" s="15" t="n"/>
      <c r="C37" s="15" t="n"/>
      <c r="D37" s="27" t="n"/>
      <c r="E37" s="234" t="n"/>
      <c r="F37" s="234" t="n"/>
      <c r="G37" s="126" t="n"/>
      <c r="H37" s="126" t="n"/>
      <c r="I37" s="559" t="inlineStr">
        <is>
          <t>MF0345</t>
        </is>
      </c>
      <c r="J37" s="234" t="n"/>
      <c r="K37" s="234" t="n"/>
      <c r="L37" s="458" t="n"/>
      <c r="M37" s="380" t="n"/>
      <c r="N37" s="126" t="n"/>
      <c r="O37" s="126" t="n"/>
      <c r="P37" s="375" t="n"/>
      <c r="Q37" s="381" t="n"/>
      <c r="R37" s="381" t="n"/>
      <c r="S37" s="381" t="n"/>
      <c r="T37" s="234" t="n"/>
      <c r="U37" s="126" t="n"/>
      <c r="V37" s="126" t="n"/>
      <c r="W37" s="234" t="n"/>
      <c r="X37" s="234" t="n"/>
      <c r="Y37" s="234" t="n"/>
      <c r="Z37" s="236" t="n"/>
      <c r="AA37" s="234" t="n"/>
      <c r="AB37" s="126" t="n"/>
      <c r="AC37" s="126" t="n"/>
      <c r="AD37" s="234" t="n"/>
      <c r="AE37" s="555" t="inlineStr">
        <is>
          <t>MF0346</t>
        </is>
      </c>
      <c r="AF37" s="443" t="inlineStr">
        <is>
          <t>P</t>
        </is>
      </c>
      <c r="AG37" s="234" t="n"/>
      <c r="AH37" s="234" t="n"/>
      <c r="AI37" s="4" t="n"/>
      <c r="AJ37" s="445">
        <f>AJ29+AI34</f>
        <v/>
      </c>
      <c r="AK37" s="560" t="inlineStr">
        <is>
          <t>005 -IMPE0108 (5,5H)</t>
        </is>
      </c>
      <c r="AL37" s="560" t="n"/>
      <c r="AM37" s="560" t="n"/>
      <c r="AN37" s="560" t="n"/>
    </row>
    <row r="38" hidden="1" ht="16.5" customHeight="1" s="757">
      <c r="A38" s="17" t="inlineStr">
        <is>
          <t>GOOGLE TARDA</t>
        </is>
      </c>
      <c r="B38" s="18" t="n"/>
      <c r="C38" s="18" t="n"/>
      <c r="D38" s="28" t="n"/>
      <c r="E38" s="530" t="n"/>
      <c r="F38" s="544" t="n"/>
      <c r="G38" s="39" t="n"/>
      <c r="H38" s="39" t="n"/>
      <c r="I38" s="396" t="n"/>
      <c r="J38" s="755" t="n"/>
      <c r="K38" s="755" t="n"/>
      <c r="L38" s="459" t="n"/>
      <c r="M38" s="398" t="n"/>
      <c r="N38" s="39" t="n"/>
      <c r="O38" s="39" t="n"/>
      <c r="P38" s="755" t="n"/>
      <c r="Q38" s="545" t="inlineStr">
        <is>
          <t>ASSE- IMATGE</t>
        </is>
      </c>
      <c r="R38" s="33" t="n"/>
      <c r="S38" s="755" t="n"/>
      <c r="T38" s="755" t="n"/>
      <c r="U38" s="39" t="n"/>
      <c r="V38" s="39" t="n"/>
      <c r="W38" s="755" t="n"/>
      <c r="X38" s="755" t="n"/>
      <c r="Y38" s="755" t="n"/>
      <c r="AA38" s="755" t="n"/>
      <c r="AB38" s="39" t="n"/>
      <c r="AC38" s="39" t="n"/>
      <c r="AD38" s="545" t="inlineStr">
        <is>
          <t>2ª OP.CARR</t>
        </is>
      </c>
      <c r="AE38" s="33" t="n"/>
      <c r="AF38" s="274" t="n"/>
      <c r="AG38" s="274" t="n"/>
      <c r="AH38" s="33" t="n"/>
      <c r="AI38" s="4" t="n"/>
      <c r="AK38" s="661" t="inlineStr">
        <is>
          <t>2ª-OPERACIÓ CARRETONS</t>
        </is>
      </c>
      <c r="AR38" s="442" t="inlineStr">
        <is>
          <t>DIA 2 COACHING</t>
        </is>
      </c>
      <c r="AU38" s="116" t="n"/>
    </row>
    <row r="39" hidden="1" ht="16.5" customHeight="1" s="757">
      <c r="A39" s="10" t="inlineStr">
        <is>
          <t>FIREFOX TARDA</t>
        </is>
      </c>
      <c r="B39" s="11" t="n"/>
      <c r="C39" s="11" t="n"/>
      <c r="D39" s="26" t="n"/>
      <c r="E39" s="163" t="n"/>
      <c r="F39" s="163" t="n"/>
      <c r="G39" s="79" t="n"/>
      <c r="H39" s="300" t="n"/>
      <c r="I39" s="530" t="n"/>
      <c r="J39" s="530" t="n"/>
      <c r="K39" s="756" t="n"/>
      <c r="L39" s="756" t="n"/>
      <c r="M39" s="756" t="n"/>
      <c r="N39" s="79" t="n"/>
      <c r="O39" s="300" t="n"/>
      <c r="P39" s="756" t="n"/>
      <c r="Q39" s="756" t="n"/>
      <c r="R39" s="756" t="n"/>
      <c r="S39" s="756" t="n"/>
      <c r="T39" s="451" t="n"/>
      <c r="U39" s="24" t="n"/>
      <c r="V39" s="24" t="n"/>
      <c r="W39" s="530" t="n"/>
      <c r="X39" s="756" t="n"/>
      <c r="Y39" s="756" t="n"/>
      <c r="Z39" s="756" t="n"/>
      <c r="AA39" s="756" t="n"/>
      <c r="AB39" s="24" t="n"/>
      <c r="AC39" s="300" t="n"/>
      <c r="AD39" s="394" t="inlineStr">
        <is>
          <t>7vam</t>
        </is>
      </c>
      <c r="AE39" s="394" t="inlineStr">
        <is>
          <t>7vam</t>
        </is>
      </c>
      <c r="AG39" s="756" t="n"/>
      <c r="AH39" s="756" t="n"/>
      <c r="AI39" s="4" t="n"/>
      <c r="AJ39" s="427" t="n"/>
      <c r="AK39" s="394" t="inlineStr">
        <is>
          <t>7 VAM</t>
        </is>
      </c>
      <c r="AU39" s="396" t="n"/>
    </row>
    <row r="40" hidden="1" ht="16.5" customHeight="1" s="757">
      <c r="A40" s="455" t="inlineStr">
        <is>
          <t>TARRAGONA mati</t>
        </is>
      </c>
      <c r="B40" s="456" t="n"/>
      <c r="C40" s="456" t="n"/>
      <c r="D40" s="218" t="n"/>
      <c r="E40" s="414" t="n"/>
      <c r="F40" s="414" t="n"/>
      <c r="G40" s="119" t="n"/>
      <c r="H40" s="119" t="n"/>
      <c r="J40" s="414" t="n"/>
      <c r="K40" s="414" t="n"/>
      <c r="L40" s="756" t="n"/>
      <c r="M40" s="414" t="n"/>
      <c r="N40" s="119" t="n"/>
      <c r="O40" s="119" t="n"/>
      <c r="Q40" s="414" t="n"/>
      <c r="R40" s="414" t="n"/>
      <c r="S40" s="414" t="n"/>
      <c r="T40" s="782" t="n"/>
      <c r="U40" s="119" t="n"/>
      <c r="V40" s="119" t="n"/>
      <c r="W40" s="289" t="inlineStr">
        <is>
          <t>RAF???</t>
        </is>
      </c>
      <c r="X40" s="782" t="n"/>
      <c r="Y40" s="457" t="n"/>
      <c r="Z40" s="782" t="n"/>
      <c r="AA40" s="782" t="n"/>
      <c r="AB40" s="119" t="n"/>
      <c r="AC40" s="119" t="n"/>
      <c r="AD40" s="457" t="n"/>
      <c r="AE40" s="414" t="n"/>
      <c r="AF40" s="782" t="n"/>
      <c r="AG40" s="782" t="n"/>
      <c r="AH40" s="782" t="n"/>
      <c r="AI40" s="4" t="n"/>
      <c r="AP40" s="289" t="n"/>
      <c r="AQ40" s="289" t="n"/>
      <c r="AS40" s="289" t="inlineStr">
        <is>
          <t>EAPC - BBDD</t>
        </is>
      </c>
      <c r="AT40" s="289" t="n"/>
    </row>
    <row r="41" hidden="1" ht="16.5" customHeight="1" s="757">
      <c r="A41" s="196" t="inlineStr">
        <is>
          <t>TARRAGONA tarda</t>
        </is>
      </c>
      <c r="B41" s="195" t="n"/>
      <c r="C41" s="195" t="n"/>
      <c r="D41" s="26" t="n"/>
      <c r="E41" s="756" t="n"/>
      <c r="F41" s="756" t="n"/>
      <c r="G41" s="24" t="n"/>
      <c r="H41" s="24" t="n"/>
      <c r="I41" s="545" t="inlineStr">
        <is>
          <t>3-PERE</t>
        </is>
      </c>
      <c r="J41" s="33" t="n"/>
      <c r="K41" s="450" t="n"/>
      <c r="L41" s="33" t="n"/>
      <c r="M41" s="33" t="n"/>
      <c r="N41" s="24" t="n"/>
      <c r="O41" s="24" t="n"/>
      <c r="P41" s="33" t="n"/>
      <c r="Q41" s="33" t="n"/>
      <c r="R41" s="450" t="n"/>
      <c r="S41" s="33" t="n"/>
      <c r="T41" s="33" t="n"/>
      <c r="U41" s="24" t="n"/>
      <c r="V41" s="24" t="n"/>
      <c r="W41" s="756" t="n"/>
      <c r="X41" s="756" t="n"/>
      <c r="Y41" s="756" t="n"/>
      <c r="Z41" s="33" t="n"/>
      <c r="AA41" s="756" t="n"/>
      <c r="AB41" s="24" t="n"/>
      <c r="AC41" s="24" t="n"/>
      <c r="AD41" s="756" t="n"/>
      <c r="AE41" s="756" t="n"/>
      <c r="AF41" s="756" t="n"/>
      <c r="AG41" s="756" t="n"/>
      <c r="AH41" s="756" t="n"/>
      <c r="AI41" s="4" t="n"/>
      <c r="AK41" s="661" t="inlineStr">
        <is>
          <t>3-ACTIC- NIVELL INTERMEDI 5H</t>
        </is>
      </c>
    </row>
    <row r="42" hidden="1" ht="18.75" customHeight="1" s="757">
      <c r="A42" s="797" t="inlineStr">
        <is>
          <t>JUNY</t>
        </is>
      </c>
      <c r="B42" s="795" t="n"/>
      <c r="C42" s="795" t="n"/>
      <c r="D42" s="795" t="n"/>
      <c r="E42" s="795" t="n"/>
      <c r="F42" s="795" t="n"/>
      <c r="G42" s="795" t="n"/>
      <c r="H42" s="795" t="n"/>
      <c r="I42" s="795" t="n"/>
      <c r="J42" s="795" t="n"/>
      <c r="K42" s="795" t="n"/>
      <c r="L42" s="795" t="n"/>
      <c r="M42" s="795" t="n"/>
      <c r="N42" s="795" t="n"/>
      <c r="O42" s="795" t="n"/>
      <c r="P42" s="795" t="n"/>
      <c r="Q42" s="795" t="n"/>
      <c r="R42" s="795" t="n"/>
      <c r="S42" s="795" t="n"/>
      <c r="T42" s="795" t="n"/>
      <c r="U42" s="795" t="n"/>
      <c r="V42" s="795" t="n"/>
      <c r="W42" s="795" t="n"/>
      <c r="X42" s="795" t="n"/>
      <c r="Y42" s="795" t="n"/>
      <c r="Z42" s="795" t="n"/>
      <c r="AA42" s="795" t="n"/>
      <c r="AB42" s="795" t="n"/>
      <c r="AC42" s="795" t="n"/>
      <c r="AD42" s="795" t="n"/>
      <c r="AE42" s="795" t="n"/>
      <c r="AF42" s="795" t="n"/>
      <c r="AG42" s="795" t="n"/>
      <c r="AH42" s="123" t="n"/>
      <c r="AI42" s="524" t="n">
        <v>19</v>
      </c>
      <c r="AJ42">
        <f>AJ34+AI42</f>
        <v/>
      </c>
    </row>
    <row r="43" hidden="1" ht="66.75" customHeight="1" s="757">
      <c r="A43" s="7" t="inlineStr">
        <is>
          <t>AULA</t>
        </is>
      </c>
      <c r="B43" s="8" t="inlineStr">
        <is>
          <t>INICI</t>
        </is>
      </c>
      <c r="C43" s="8" t="inlineStr">
        <is>
          <t>FINAL</t>
        </is>
      </c>
      <c r="D43" s="171" t="n">
        <v>45444</v>
      </c>
      <c r="E43" s="171" t="n">
        <v>45445</v>
      </c>
      <c r="F43" s="171" t="n">
        <v>45446</v>
      </c>
      <c r="G43" s="171" t="n">
        <v>45447</v>
      </c>
      <c r="H43" s="171" t="n">
        <v>45448</v>
      </c>
      <c r="I43" s="171" t="n">
        <v>45449</v>
      </c>
      <c r="J43" s="171" t="n">
        <v>45450</v>
      </c>
      <c r="K43" s="171" t="n">
        <v>45451</v>
      </c>
      <c r="L43" s="171" t="n">
        <v>45452</v>
      </c>
      <c r="M43" s="171" t="n">
        <v>45453</v>
      </c>
      <c r="N43" s="171" t="n">
        <v>45454</v>
      </c>
      <c r="O43" s="171" t="n">
        <v>45455</v>
      </c>
      <c r="P43" s="171" t="n">
        <v>45456</v>
      </c>
      <c r="Q43" s="171" t="n">
        <v>45457</v>
      </c>
      <c r="R43" s="171" t="n">
        <v>45458</v>
      </c>
      <c r="S43" s="171" t="n">
        <v>45459</v>
      </c>
      <c r="T43" s="171" t="n">
        <v>45460</v>
      </c>
      <c r="U43" s="171" t="n">
        <v>45461</v>
      </c>
      <c r="V43" s="171" t="n">
        <v>45462</v>
      </c>
      <c r="W43" s="171" t="n">
        <v>45463</v>
      </c>
      <c r="X43" s="171" t="n">
        <v>45464</v>
      </c>
      <c r="Y43" s="171" t="n">
        <v>45465</v>
      </c>
      <c r="Z43" s="171" t="n">
        <v>45466</v>
      </c>
      <c r="AA43" s="171" t="n">
        <v>45467</v>
      </c>
      <c r="AB43" s="171" t="n">
        <v>45468</v>
      </c>
      <c r="AC43" s="171" t="n">
        <v>45469</v>
      </c>
      <c r="AD43" s="171" t="n">
        <v>45470</v>
      </c>
      <c r="AE43" s="171" t="n">
        <v>45471</v>
      </c>
      <c r="AF43" s="171" t="n">
        <v>45472</v>
      </c>
      <c r="AG43" s="171" t="n">
        <v>45473</v>
      </c>
      <c r="AH43" s="9" t="n"/>
      <c r="AI43" s="4" t="n"/>
    </row>
    <row r="44" hidden="1" ht="16.5" customHeight="1" s="757" thickBot="1">
      <c r="A44" s="10" t="inlineStr">
        <is>
          <t>GOOGLE MATINS</t>
        </is>
      </c>
      <c r="B44" s="11" t="n"/>
      <c r="C44" s="11" t="n"/>
      <c r="D44" s="24" t="n"/>
      <c r="E44" s="24" t="n"/>
      <c r="F44" s="368" t="n"/>
      <c r="G44" s="354" t="n"/>
      <c r="H44" s="69" t="n"/>
      <c r="I44" s="69" t="n"/>
      <c r="J44" s="518" t="inlineStr">
        <is>
          <t>UF0323</t>
        </is>
      </c>
      <c r="K44" s="24" t="n"/>
      <c r="L44" s="24" t="n"/>
      <c r="M44" s="69" t="n"/>
      <c r="N44" s="355" t="n"/>
      <c r="O44" s="355" t="n"/>
      <c r="P44" s="355" t="n"/>
      <c r="Q44" s="365" t="n"/>
      <c r="R44" s="24" t="n"/>
      <c r="S44" s="24" t="n"/>
      <c r="T44" s="562" t="inlineStr">
        <is>
          <t>FCOS02 PABLO</t>
        </is>
      </c>
      <c r="U44" s="365" t="n"/>
      <c r="V44" s="563" t="n"/>
      <c r="W44" s="365" t="n"/>
      <c r="X44" s="465" t="n"/>
      <c r="Y44" s="24" t="n"/>
      <c r="Z44" s="24" t="n"/>
      <c r="AA44" s="26" t="n"/>
      <c r="AB44" s="466" t="n"/>
      <c r="AC44" s="466" t="n"/>
      <c r="AD44" s="466" t="n"/>
      <c r="AE44" s="466" t="n"/>
      <c r="AF44" s="24" t="n"/>
      <c r="AG44" s="24" t="n"/>
      <c r="AH44" s="130" t="n"/>
      <c r="AI44" s="4" t="n"/>
      <c r="AJ44">
        <f>AJ36+12</f>
        <v/>
      </c>
      <c r="AK44" s="646" t="inlineStr">
        <is>
          <t>0208 CEN</t>
        </is>
      </c>
      <c r="AN44" s="775" t="n"/>
      <c r="AO44" s="367" t="inlineStr">
        <is>
          <t>FCOS02 PABLO</t>
        </is>
      </c>
      <c r="AP44" s="366" t="n"/>
      <c r="AQ44" s="366" t="n"/>
      <c r="BQ44" s="775" t="inlineStr">
        <is>
          <t>+</t>
        </is>
      </c>
    </row>
    <row r="45" hidden="1" ht="18.75" customHeight="1" s="757">
      <c r="A45" s="14" t="inlineStr">
        <is>
          <t>FIREFOX MATINS</t>
        </is>
      </c>
      <c r="B45" s="15" t="n"/>
      <c r="C45" s="15" t="n"/>
      <c r="D45" s="35" t="n"/>
      <c r="E45" s="35" t="n"/>
      <c r="F45" s="383" t="n"/>
      <c r="G45" s="386" t="n"/>
      <c r="H45" s="384" t="n"/>
      <c r="I45" s="386" t="n"/>
      <c r="J45" s="234" t="n"/>
      <c r="K45" s="126" t="n"/>
      <c r="L45" s="126" t="n"/>
      <c r="M45" s="234" t="n"/>
      <c r="N45" s="234" t="n"/>
      <c r="O45" s="559" t="inlineStr">
        <is>
          <t>OR</t>
        </is>
      </c>
      <c r="P45" s="564" t="inlineStr">
        <is>
          <t>FCO</t>
        </is>
      </c>
      <c r="Q45" s="564" t="inlineStr">
        <is>
          <t>FCO</t>
        </is>
      </c>
      <c r="R45" s="126" t="n"/>
      <c r="S45" s="126" t="n"/>
      <c r="T45" s="460" t="n"/>
      <c r="U45" s="460" t="n"/>
      <c r="V45" s="460" t="n"/>
      <c r="W45" s="460" t="n"/>
      <c r="X45" s="761" t="n"/>
      <c r="Y45" s="126" t="n"/>
      <c r="Z45" s="126" t="n"/>
      <c r="AA45" s="127" t="n"/>
      <c r="AB45" s="130" t="n"/>
      <c r="AC45" s="130" t="n"/>
      <c r="AD45" s="130" t="n"/>
      <c r="AE45" s="130" t="n"/>
      <c r="AF45" s="126" t="n"/>
      <c r="AG45" s="126" t="n"/>
      <c r="AH45" s="130" t="n"/>
      <c r="AI45" s="4" t="n"/>
      <c r="AJ45" s="445">
        <f>AJ37+8</f>
        <v/>
      </c>
      <c r="AK45" s="560" t="inlineStr">
        <is>
          <t>005 -IMPE0108 (5,5H)</t>
        </is>
      </c>
      <c r="AL45" s="560" t="n"/>
      <c r="AM45" s="560" t="n"/>
      <c r="AN45" s="560" t="n"/>
      <c r="AO45" s="636" t="inlineStr">
        <is>
          <t>017- FCO</t>
        </is>
      </c>
      <c r="AQ45" s="461" t="n">
        <v>9</v>
      </c>
      <c r="AR45" s="653" t="inlineStr">
        <is>
          <t>004 FCOV05 - ANGLES 5,5H</t>
        </is>
      </c>
      <c r="AV45" s="425" t="n"/>
    </row>
    <row r="46" hidden="1" ht="15.75" customHeight="1" s="757">
      <c r="A46" s="17" t="inlineStr">
        <is>
          <t>GOOGLE TARDA</t>
        </is>
      </c>
      <c r="B46" s="18" t="n"/>
      <c r="C46" s="18" t="n"/>
      <c r="D46" s="39" t="n"/>
      <c r="E46" s="39" t="n"/>
      <c r="F46" s="447" t="n"/>
      <c r="G46" s="755" t="n"/>
      <c r="H46" s="755" t="n"/>
      <c r="I46" s="755" t="n"/>
      <c r="J46" s="755" t="n"/>
      <c r="K46" s="39" t="n"/>
      <c r="L46" s="39" t="n"/>
      <c r="M46" s="755" t="n"/>
      <c r="N46" s="755" t="n"/>
      <c r="O46" s="755" t="n"/>
      <c r="P46" s="755" t="n"/>
      <c r="Q46" s="755" t="n"/>
      <c r="R46" s="39" t="n"/>
      <c r="S46" s="39" t="n"/>
      <c r="T46" s="49" t="n"/>
      <c r="U46" s="565" t="inlineStr">
        <is>
          <t>016-FCOI16</t>
        </is>
      </c>
      <c r="W46" s="49" t="n"/>
      <c r="X46" s="49" t="n"/>
      <c r="Y46" s="39" t="n"/>
      <c r="Z46" s="39" t="n"/>
      <c r="AA46" s="28" t="n"/>
      <c r="AB46" s="49" t="n"/>
      <c r="AC46" s="51" t="n"/>
      <c r="AD46" s="49" t="n"/>
      <c r="AE46" s="49" t="n"/>
      <c r="AF46" s="39" t="n"/>
      <c r="AG46" s="39" t="n"/>
      <c r="AH46" s="755" t="n"/>
      <c r="AI46" s="4" t="n"/>
      <c r="AK46" s="523" t="inlineStr">
        <is>
          <t>016- FCOI16ACTIC MIT - FOAP 5h</t>
        </is>
      </c>
      <c r="AL46" s="51" t="n"/>
      <c r="AM46" s="51" t="n"/>
      <c r="AN46" s="51" t="n"/>
      <c r="AO46" s="51" t="n"/>
      <c r="AS46" s="775" t="n"/>
    </row>
    <row r="47" hidden="1" ht="15.75" customHeight="1" s="757">
      <c r="A47" s="10" t="inlineStr">
        <is>
          <t>FIREFOX TARDA</t>
        </is>
      </c>
      <c r="B47" s="11" t="n"/>
      <c r="C47" s="11" t="n"/>
      <c r="D47" s="24" t="n"/>
      <c r="E47" s="24" t="n"/>
      <c r="F47" s="447" t="inlineStr">
        <is>
          <t>6vam</t>
        </is>
      </c>
      <c r="G47" s="756" t="n"/>
      <c r="H47" s="756" t="n"/>
      <c r="I47" s="756" t="n"/>
      <c r="J47" s="756" t="n"/>
      <c r="K47" s="24" t="n"/>
      <c r="L47" s="24" t="n"/>
      <c r="M47" s="756" t="n"/>
      <c r="N47" s="396" t="inlineStr">
        <is>
          <t>5vam</t>
        </is>
      </c>
      <c r="O47" s="756" t="n"/>
      <c r="P47" s="398" t="inlineStr">
        <is>
          <t>5vam</t>
        </is>
      </c>
      <c r="Q47" s="756" t="n"/>
      <c r="R47" s="24" t="n"/>
      <c r="S47" s="24" t="n"/>
      <c r="T47" s="756" t="n"/>
      <c r="U47" s="756" t="n"/>
      <c r="V47" s="756" t="n"/>
      <c r="W47" s="756" t="n"/>
      <c r="X47" s="756" t="n"/>
      <c r="Y47" s="24" t="n"/>
      <c r="Z47" s="24" t="n"/>
      <c r="AA47" s="26" t="n"/>
      <c r="AB47" s="756" t="n"/>
      <c r="AC47" s="756" t="n"/>
      <c r="AD47" s="756" t="n"/>
      <c r="AE47" s="756" t="n"/>
      <c r="AF47" s="24" t="n"/>
      <c r="AG47" s="24" t="n"/>
      <c r="AH47" s="756" t="n"/>
      <c r="AI47" s="4" t="n"/>
      <c r="AL47" s="536" t="n"/>
      <c r="AM47" s="116" t="n"/>
      <c r="AN47" s="116" t="n"/>
      <c r="AO47" s="116" t="n"/>
      <c r="AP47" s="774" t="n"/>
      <c r="AQ47" s="394" t="inlineStr">
        <is>
          <t>5 VAM</t>
        </is>
      </c>
      <c r="AS47" s="452" t="inlineStr">
        <is>
          <t>6VAM</t>
        </is>
      </c>
    </row>
    <row r="48" hidden="1" ht="15.75" customHeight="1" s="757">
      <c r="A48" s="10" t="inlineStr">
        <is>
          <t>TARRAGONA mati</t>
        </is>
      </c>
      <c r="B48" s="11" t="n"/>
      <c r="C48" s="11" t="n"/>
      <c r="D48" s="24" t="n"/>
      <c r="E48" s="24" t="n"/>
      <c r="F48" s="566" t="inlineStr">
        <is>
          <t>ACTIC AVANÇAT</t>
        </is>
      </c>
      <c r="G48" s="756" t="n"/>
      <c r="H48" s="43" t="n"/>
      <c r="I48" s="756" t="n"/>
      <c r="J48" s="756" t="n"/>
      <c r="K48" s="24" t="n"/>
      <c r="L48" s="24" t="n"/>
      <c r="M48" s="43" t="n"/>
      <c r="N48" s="756" t="n"/>
      <c r="O48" s="43" t="n"/>
      <c r="P48" s="756" t="n"/>
      <c r="Q48" s="756" t="n"/>
      <c r="R48" s="24" t="n"/>
      <c r="S48" s="24" t="n"/>
      <c r="T48" s="43" t="n"/>
      <c r="U48" s="756" t="n"/>
      <c r="V48" s="756" t="n"/>
      <c r="W48" s="756" t="n"/>
      <c r="X48" s="756" t="n"/>
      <c r="Y48" s="24" t="n"/>
      <c r="Z48" s="24" t="n"/>
      <c r="AA48" s="26" t="n"/>
      <c r="AB48" s="756" t="n"/>
      <c r="AC48" s="756" t="n"/>
      <c r="AD48" s="756" t="n"/>
      <c r="AE48" s="756" t="n"/>
      <c r="AF48" s="24" t="n"/>
      <c r="AG48" s="24" t="n"/>
      <c r="AH48" s="756" t="n"/>
      <c r="AI48" s="4" t="n"/>
      <c r="AJ48" s="463" t="inlineStr">
        <is>
          <t>!!!!</t>
        </is>
      </c>
      <c r="AK48" s="289" t="inlineStr">
        <is>
          <t>EAPC - ACTIC AVANÇAT</t>
        </is>
      </c>
      <c r="AL48" s="289" t="n"/>
      <c r="AM48" s="289" t="n"/>
    </row>
    <row r="49" hidden="1" ht="15.75" customHeight="1" s="757">
      <c r="A49" s="10" t="inlineStr">
        <is>
          <t>TARRAGONA tarda</t>
        </is>
      </c>
      <c r="B49" s="11" t="n"/>
      <c r="C49" s="11" t="n"/>
      <c r="D49" s="24" t="n"/>
      <c r="E49" s="24" t="n"/>
      <c r="F49" s="756" t="n"/>
      <c r="G49" s="756" t="n"/>
      <c r="H49" s="756" t="n"/>
      <c r="I49" s="756" t="n"/>
      <c r="J49" s="756" t="n"/>
      <c r="K49" s="24" t="n"/>
      <c r="L49" s="24" t="n"/>
      <c r="M49" s="756" t="n"/>
      <c r="N49" s="756" t="n"/>
      <c r="O49" s="756" t="n"/>
      <c r="P49" s="756" t="n"/>
      <c r="Q49" s="756" t="n"/>
      <c r="R49" s="24" t="n"/>
      <c r="S49" s="24" t="n"/>
      <c r="T49" s="756" t="n"/>
      <c r="U49" s="756" t="n"/>
      <c r="V49" s="756" t="n"/>
      <c r="W49" s="756" t="n"/>
      <c r="X49" s="756" t="n"/>
      <c r="Y49" s="24" t="n"/>
      <c r="Z49" s="24" t="n"/>
      <c r="AA49" s="26" t="n"/>
      <c r="AB49" s="756" t="n"/>
      <c r="AC49" s="30" t="n"/>
      <c r="AD49" s="756" t="n"/>
      <c r="AE49" s="756" t="n"/>
      <c r="AF49" s="24" t="n"/>
      <c r="AG49" s="24" t="n"/>
      <c r="AH49" s="756" t="n"/>
      <c r="AI49" s="4" t="n"/>
    </row>
    <row r="50" hidden="1" ht="18.75" customHeight="1" s="757">
      <c r="A50" s="788" t="inlineStr">
        <is>
          <t>JULIOL</t>
        </is>
      </c>
      <c r="B50" s="156" t="n"/>
      <c r="C50" s="156" t="n"/>
      <c r="D50" s="156" t="n"/>
      <c r="E50" s="156" t="n"/>
      <c r="F50" s="156" t="n"/>
      <c r="G50" s="156" t="n"/>
      <c r="H50" s="156" t="n"/>
      <c r="I50" s="156" t="n"/>
      <c r="J50" s="156" t="n"/>
      <c r="K50" s="156" t="n"/>
      <c r="L50" s="156" t="n"/>
      <c r="M50" s="156" t="n"/>
      <c r="N50" s="156" t="n"/>
      <c r="O50" s="156" t="n"/>
      <c r="P50" s="156" t="n"/>
      <c r="Q50" s="156" t="n"/>
      <c r="R50" s="156" t="n"/>
      <c r="S50" s="156" t="n"/>
      <c r="T50" s="156" t="n"/>
      <c r="U50" s="156" t="n"/>
      <c r="V50" s="156" t="n"/>
      <c r="W50" s="156" t="n"/>
      <c r="X50" s="156" t="n"/>
      <c r="Y50" s="156" t="n"/>
      <c r="Z50" s="156" t="n"/>
      <c r="AA50" s="156" t="n"/>
      <c r="AB50" s="156" t="n"/>
      <c r="AC50" s="156" t="n"/>
      <c r="AD50" s="156" t="n"/>
      <c r="AE50" s="156" t="n"/>
      <c r="AF50" s="156" t="n"/>
      <c r="AG50" s="156" t="n"/>
      <c r="AH50" s="142" t="n"/>
      <c r="AI50" s="524" t="n">
        <v>22</v>
      </c>
      <c r="AJ50">
        <f>AJ42+AI50</f>
        <v/>
      </c>
    </row>
    <row r="51" hidden="1" ht="65.25" customHeight="1" s="757">
      <c r="A51" s="7" t="inlineStr">
        <is>
          <t>AULA</t>
        </is>
      </c>
      <c r="B51" s="8" t="inlineStr">
        <is>
          <t>INICI</t>
        </is>
      </c>
      <c r="C51" s="8" t="inlineStr">
        <is>
          <t>FINAL</t>
        </is>
      </c>
      <c r="D51" s="171" t="n">
        <v>45474</v>
      </c>
      <c r="E51" s="171" t="n">
        <v>45475</v>
      </c>
      <c r="F51" s="171" t="n">
        <v>45476</v>
      </c>
      <c r="G51" s="171" t="n">
        <v>45477</v>
      </c>
      <c r="H51" s="171" t="n">
        <v>45478</v>
      </c>
      <c r="I51" s="171" t="n">
        <v>45479</v>
      </c>
      <c r="J51" s="171" t="n">
        <v>45480</v>
      </c>
      <c r="K51" s="171" t="n">
        <v>45481</v>
      </c>
      <c r="L51" s="171" t="n">
        <v>45482</v>
      </c>
      <c r="M51" s="171" t="n">
        <v>45483</v>
      </c>
      <c r="N51" s="171" t="n">
        <v>45484</v>
      </c>
      <c r="O51" s="171" t="n">
        <v>45485</v>
      </c>
      <c r="P51" s="171" t="n">
        <v>45486</v>
      </c>
      <c r="Q51" s="171" t="n">
        <v>45487</v>
      </c>
      <c r="R51" s="171" t="n">
        <v>45488</v>
      </c>
      <c r="S51" s="171" t="n">
        <v>45489</v>
      </c>
      <c r="T51" s="171" t="n">
        <v>45490</v>
      </c>
      <c r="U51" s="171" t="n">
        <v>45491</v>
      </c>
      <c r="V51" s="171" t="n">
        <v>45492</v>
      </c>
      <c r="W51" s="171" t="n">
        <v>45493</v>
      </c>
      <c r="X51" s="171" t="n">
        <v>45494</v>
      </c>
      <c r="Y51" s="171" t="n">
        <v>45495</v>
      </c>
      <c r="Z51" s="171" t="n">
        <v>45496</v>
      </c>
      <c r="AA51" s="171" t="n">
        <v>45497</v>
      </c>
      <c r="AB51" s="171" t="n">
        <v>45498</v>
      </c>
      <c r="AC51" s="171" t="n">
        <v>45499</v>
      </c>
      <c r="AD51" s="171" t="n">
        <v>45500</v>
      </c>
      <c r="AE51" s="171" t="n">
        <v>45501</v>
      </c>
      <c r="AF51" s="171" t="n">
        <v>45502</v>
      </c>
      <c r="AG51" s="171" t="n">
        <v>45503</v>
      </c>
      <c r="AH51" s="171" t="n">
        <v>45504</v>
      </c>
      <c r="AI51" s="4" t="n"/>
    </row>
    <row r="52" hidden="1" ht="15.75" customHeight="1" s="757">
      <c r="A52" s="10" t="inlineStr">
        <is>
          <t>GOOGLE MATINS</t>
        </is>
      </c>
      <c r="B52" s="11" t="n"/>
      <c r="C52" s="11" t="n"/>
      <c r="D52" s="465" t="n"/>
      <c r="E52" s="465" t="n"/>
      <c r="F52" s="465" t="n"/>
      <c r="G52" s="465" t="n"/>
      <c r="H52" s="465" t="n"/>
      <c r="I52" s="24" t="n"/>
      <c r="J52" s="24" t="n"/>
      <c r="K52" s="465" t="n"/>
      <c r="L52" s="465" t="n"/>
      <c r="M52" s="465" t="n"/>
      <c r="N52" s="465" t="n"/>
      <c r="O52" s="465" t="n"/>
      <c r="P52" s="24" t="n"/>
      <c r="Q52" s="24" t="n"/>
      <c r="R52" s="26" t="n"/>
      <c r="S52" s="462" t="n"/>
      <c r="T52" s="465" t="n"/>
      <c r="U52" s="462" t="n"/>
      <c r="V52" s="465" t="n"/>
      <c r="W52" s="24" t="n"/>
      <c r="X52" s="24" t="n"/>
      <c r="Y52" s="465" t="n"/>
      <c r="Z52" s="465" t="n"/>
      <c r="AA52" s="468" t="n"/>
      <c r="AB52" s="465" t="n"/>
      <c r="AC52" s="465" t="n"/>
      <c r="AD52" s="24" t="n"/>
      <c r="AE52" s="24" t="n"/>
      <c r="AF52" s="465" t="n"/>
      <c r="AG52" s="465" t="n"/>
      <c r="AH52" s="465" t="n"/>
      <c r="AI52" s="4" t="n"/>
      <c r="AK52" s="653" t="inlineStr">
        <is>
          <t>004 FCOV05 - ANGLES 5,5H</t>
        </is>
      </c>
    </row>
    <row r="53" hidden="1" ht="19.5" customHeight="1" s="757" thickBot="1">
      <c r="A53" s="14" t="inlineStr">
        <is>
          <t>FIREFOX MATINS</t>
        </is>
      </c>
      <c r="B53" s="15" t="n"/>
      <c r="C53" s="15" t="n"/>
      <c r="D53" s="778" t="n"/>
      <c r="E53" s="778" t="n"/>
      <c r="F53" s="778" t="n"/>
      <c r="G53" s="778" t="n"/>
      <c r="H53" s="778" t="n"/>
      <c r="I53" s="35" t="n"/>
      <c r="J53" s="35" t="n"/>
      <c r="K53" s="778" t="n"/>
      <c r="L53" s="778" t="n"/>
      <c r="M53" s="778" t="n"/>
      <c r="N53" s="778" t="n"/>
      <c r="O53" s="778" t="n"/>
      <c r="P53" s="35" t="n"/>
      <c r="Q53" s="35" t="n"/>
      <c r="R53" s="27" t="n"/>
      <c r="S53" s="30" t="n"/>
      <c r="T53" s="778" t="n"/>
      <c r="U53" s="30" t="n"/>
      <c r="V53" s="778" t="n"/>
      <c r="W53" s="35" t="n"/>
      <c r="X53" s="35" t="n"/>
      <c r="Y53" s="778" t="n"/>
      <c r="Z53" s="778" t="n"/>
      <c r="AA53" s="778" t="n"/>
      <c r="AB53" s="778" t="n"/>
      <c r="AC53" s="778" t="n"/>
      <c r="AD53" s="35" t="n"/>
      <c r="AE53" s="35" t="n"/>
      <c r="AF53" s="778" t="n"/>
      <c r="AG53" s="778" t="n"/>
      <c r="AH53" s="778" t="n"/>
      <c r="AI53" s="4" t="n"/>
      <c r="AJ53" s="461">
        <f>AI50+AQ45</f>
        <v/>
      </c>
      <c r="AK53" s="467" t="inlineStr">
        <is>
          <t>VAM</t>
        </is>
      </c>
    </row>
    <row r="54" hidden="1" ht="15.75" customHeight="1" s="757">
      <c r="A54" s="17" t="inlineStr">
        <is>
          <t>GOOGLE TARDA</t>
        </is>
      </c>
      <c r="B54" s="18" t="n"/>
      <c r="C54" s="18" t="n"/>
      <c r="D54" s="755" t="n"/>
      <c r="E54" s="755" t="n"/>
      <c r="F54" s="755" t="n"/>
      <c r="G54" s="755" t="n"/>
      <c r="H54" s="28" t="n"/>
      <c r="I54" s="39" t="n"/>
      <c r="J54" s="39" t="n"/>
      <c r="K54" s="28" t="n"/>
      <c r="L54" s="28" t="n"/>
      <c r="M54" s="28" t="n"/>
      <c r="N54" s="28" t="n"/>
      <c r="O54" s="28" t="n"/>
      <c r="P54" s="39" t="n"/>
      <c r="Q54" s="39" t="n"/>
      <c r="R54" s="28" t="n"/>
      <c r="S54" s="28" t="n"/>
      <c r="T54" s="28" t="n"/>
      <c r="U54" s="28" t="n"/>
      <c r="V54" s="28" t="n"/>
      <c r="W54" s="39" t="n"/>
      <c r="X54" s="39" t="n"/>
      <c r="Y54" s="28" t="n"/>
      <c r="Z54" s="28" t="n"/>
      <c r="AA54" s="28" t="n"/>
      <c r="AB54" s="28" t="n"/>
      <c r="AC54" s="28" t="n"/>
      <c r="AD54" s="39" t="n"/>
      <c r="AE54" s="39" t="n"/>
      <c r="AF54" s="28" t="n"/>
      <c r="AG54" s="28" t="n"/>
      <c r="AH54" s="28" t="n"/>
      <c r="AI54" s="4" t="n"/>
      <c r="AK54" s="657" t="n"/>
    </row>
    <row r="55" hidden="1" ht="15.75" customHeight="1" s="757">
      <c r="A55" s="10" t="inlineStr">
        <is>
          <t>FIREFOX TARDA</t>
        </is>
      </c>
      <c r="B55" s="11" t="n"/>
      <c r="C55" s="11" t="n"/>
      <c r="D55" s="756" t="n"/>
      <c r="E55" s="756" t="n"/>
      <c r="F55" s="756" t="n"/>
      <c r="G55" s="756" t="n"/>
      <c r="H55" s="26" t="n"/>
      <c r="I55" s="24" t="n"/>
      <c r="J55" s="24" t="n"/>
      <c r="K55" s="26" t="n"/>
      <c r="L55" s="26" t="n"/>
      <c r="M55" s="26" t="n"/>
      <c r="N55" s="26" t="n"/>
      <c r="O55" s="26" t="n"/>
      <c r="P55" s="24" t="n"/>
      <c r="Q55" s="24" t="n"/>
      <c r="R55" s="26" t="n"/>
      <c r="S55" s="26" t="n"/>
      <c r="T55" s="26" t="n"/>
      <c r="U55" s="26" t="n"/>
      <c r="V55" s="26" t="n"/>
      <c r="W55" s="24" t="n"/>
      <c r="X55" s="24" t="n"/>
      <c r="Y55" s="26" t="n"/>
      <c r="Z55" s="26" t="n"/>
      <c r="AA55" s="26" t="n"/>
      <c r="AB55" s="26" t="n"/>
      <c r="AC55" s="26" t="n"/>
      <c r="AD55" s="24" t="n"/>
      <c r="AE55" s="24" t="n"/>
      <c r="AF55" s="26" t="n"/>
      <c r="AG55" s="26" t="n"/>
      <c r="AH55" s="26" t="n"/>
      <c r="AI55" s="4" t="n"/>
    </row>
    <row r="56" hidden="1" ht="15.75" customHeight="1" s="757">
      <c r="A56" s="10" t="inlineStr">
        <is>
          <t>TARRAGONA mati</t>
        </is>
      </c>
      <c r="B56" s="11" t="n"/>
      <c r="C56" s="11" t="n"/>
      <c r="D56" s="756" t="n"/>
      <c r="E56" s="756" t="n"/>
      <c r="F56" s="756" t="n"/>
      <c r="G56" s="756" t="n"/>
      <c r="H56" s="756" t="n"/>
      <c r="I56" s="24" t="n"/>
      <c r="J56" s="24" t="n"/>
      <c r="K56" s="756" t="n"/>
      <c r="L56" s="756" t="n"/>
      <c r="M56" s="756" t="n"/>
      <c r="N56" s="756" t="n"/>
      <c r="O56" s="756" t="n"/>
      <c r="P56" s="24" t="n"/>
      <c r="Q56" s="24" t="n"/>
      <c r="R56" s="26" t="n"/>
      <c r="S56" s="756" t="n"/>
      <c r="T56" s="756" t="n"/>
      <c r="U56" s="756" t="n"/>
      <c r="V56" s="756" t="n"/>
      <c r="W56" s="24" t="n"/>
      <c r="X56" s="24" t="n"/>
      <c r="Y56" s="756" t="n"/>
      <c r="Z56" s="756" t="n"/>
      <c r="AA56" s="756" t="n"/>
      <c r="AB56" s="756" t="n"/>
      <c r="AC56" s="756" t="n"/>
      <c r="AD56" s="24" t="n"/>
      <c r="AE56" s="24" t="n"/>
      <c r="AF56" s="756" t="n"/>
      <c r="AG56" s="756" t="n"/>
      <c r="AH56" s="756" t="n"/>
      <c r="AI56" s="4" t="n"/>
    </row>
    <row r="57" hidden="1" ht="15.75" customHeight="1" s="757">
      <c r="A57" s="10" t="inlineStr">
        <is>
          <t>TARRAGONA tarda</t>
        </is>
      </c>
      <c r="B57" s="11" t="n"/>
      <c r="C57" s="11" t="n"/>
      <c r="D57" s="756" t="n"/>
      <c r="E57" s="756" t="n"/>
      <c r="F57" s="756" t="n"/>
      <c r="G57" s="756" t="n"/>
      <c r="H57" s="756" t="n"/>
      <c r="I57" s="24" t="n"/>
      <c r="J57" s="24" t="n"/>
      <c r="K57" s="756" t="n"/>
      <c r="L57" s="756" t="n"/>
      <c r="M57" s="756" t="n"/>
      <c r="N57" s="756" t="n"/>
      <c r="O57" s="756" t="n"/>
      <c r="P57" s="24" t="n"/>
      <c r="Q57" s="24" t="n"/>
      <c r="R57" s="26" t="n"/>
      <c r="S57" s="756" t="n"/>
      <c r="T57" s="756" t="n"/>
      <c r="U57" s="756" t="n"/>
      <c r="V57" s="756" t="n"/>
      <c r="W57" s="24" t="n"/>
      <c r="X57" s="24" t="n"/>
      <c r="Y57" s="756" t="n"/>
      <c r="Z57" s="756" t="n"/>
      <c r="AA57" s="756" t="n"/>
      <c r="AB57" s="756" t="n"/>
      <c r="AC57" s="756" t="n"/>
      <c r="AD57" s="24" t="n"/>
      <c r="AE57" s="24" t="n"/>
      <c r="AF57" s="756" t="n"/>
      <c r="AG57" s="756" t="n"/>
      <c r="AH57" s="756" t="n"/>
      <c r="AI57" s="4" t="n"/>
    </row>
    <row r="58" hidden="1" ht="18.75" customHeight="1" s="757">
      <c r="A58" s="788" t="inlineStr">
        <is>
          <t>AGOST</t>
        </is>
      </c>
      <c r="B58" s="156" t="n"/>
      <c r="C58" s="156" t="n"/>
      <c r="D58" s="156" t="n"/>
      <c r="E58" s="156" t="n"/>
      <c r="F58" s="156" t="n"/>
      <c r="G58" s="156" t="n"/>
      <c r="H58" s="156" t="n"/>
      <c r="I58" s="156" t="n"/>
      <c r="J58" s="156" t="n"/>
      <c r="K58" s="156" t="n"/>
      <c r="L58" s="156" t="n"/>
      <c r="M58" s="156" t="n"/>
      <c r="N58" s="156" t="n"/>
      <c r="O58" s="156" t="n"/>
      <c r="P58" s="156" t="n"/>
      <c r="Q58" s="156" t="n"/>
      <c r="R58" s="156" t="n"/>
      <c r="S58" s="156" t="n"/>
      <c r="T58" s="156" t="n"/>
      <c r="U58" s="156" t="n"/>
      <c r="V58" s="156" t="n"/>
      <c r="W58" s="156" t="n"/>
      <c r="X58" s="156" t="n"/>
      <c r="Y58" s="156" t="n"/>
      <c r="Z58" s="156" t="n"/>
      <c r="AA58" s="156" t="n"/>
      <c r="AB58" s="156" t="n"/>
      <c r="AC58" s="156" t="n"/>
      <c r="AD58" s="156" t="n"/>
      <c r="AE58" s="156" t="n"/>
      <c r="AF58" s="156" t="n"/>
      <c r="AG58" s="156" t="n"/>
      <c r="AH58" s="142" t="n"/>
      <c r="AI58" s="524" t="n">
        <v>7</v>
      </c>
      <c r="AJ58">
        <f>AJ50+AI58</f>
        <v/>
      </c>
    </row>
    <row r="59" hidden="1" ht="64.5" customHeight="1" s="757">
      <c r="A59" s="7" t="inlineStr">
        <is>
          <t>AULA</t>
        </is>
      </c>
      <c r="B59" s="8" t="inlineStr">
        <is>
          <t>INICI</t>
        </is>
      </c>
      <c r="C59" s="8" t="inlineStr">
        <is>
          <t>FINAL</t>
        </is>
      </c>
      <c r="D59" s="9" t="n">
        <v>45505</v>
      </c>
      <c r="E59" s="9" t="n">
        <v>45506</v>
      </c>
      <c r="F59" s="9" t="n">
        <v>45507</v>
      </c>
      <c r="G59" s="9" t="n">
        <v>45508</v>
      </c>
      <c r="H59" s="9" t="n">
        <v>45509</v>
      </c>
      <c r="I59" s="9" t="n">
        <v>45510</v>
      </c>
      <c r="J59" s="9" t="n">
        <v>45511</v>
      </c>
      <c r="K59" s="9" t="n">
        <v>45512</v>
      </c>
      <c r="L59" s="9" t="n">
        <v>45513</v>
      </c>
      <c r="M59" s="9" t="n">
        <v>45514</v>
      </c>
      <c r="N59" s="9" t="n">
        <v>45515</v>
      </c>
      <c r="O59" s="9" t="n">
        <v>45516</v>
      </c>
      <c r="P59" s="9" t="n">
        <v>45517</v>
      </c>
      <c r="Q59" s="9" t="n">
        <v>45518</v>
      </c>
      <c r="R59" s="9" t="n">
        <v>45519</v>
      </c>
      <c r="S59" s="9" t="n">
        <v>45520</v>
      </c>
      <c r="T59" s="9" t="n">
        <v>45521</v>
      </c>
      <c r="U59" s="9" t="n">
        <v>45522</v>
      </c>
      <c r="V59" s="9" t="n">
        <v>45523</v>
      </c>
      <c r="W59" s="9" t="n">
        <v>45524</v>
      </c>
      <c r="X59" s="9" t="n">
        <v>45525</v>
      </c>
      <c r="Y59" s="9" t="n">
        <v>45526</v>
      </c>
      <c r="Z59" s="9" t="n">
        <v>45527</v>
      </c>
      <c r="AA59" s="9" t="n">
        <v>45528</v>
      </c>
      <c r="AB59" s="9" t="n">
        <v>45529</v>
      </c>
      <c r="AC59" s="9" t="n">
        <v>45530</v>
      </c>
      <c r="AD59" s="9" t="n">
        <v>45531</v>
      </c>
      <c r="AE59" s="9" t="n">
        <v>45532</v>
      </c>
      <c r="AF59" s="9" t="n">
        <v>45533</v>
      </c>
      <c r="AG59" s="9" t="n">
        <v>45534</v>
      </c>
      <c r="AH59" s="9" t="n">
        <v>45535</v>
      </c>
      <c r="AI59" s="4" t="n"/>
      <c r="AQ59">
        <f>32*5.5</f>
        <v/>
      </c>
    </row>
    <row r="60" hidden="1" ht="15.75" customHeight="1" s="757">
      <c r="A60" s="10" t="inlineStr">
        <is>
          <t>GOOGLE MATINS</t>
        </is>
      </c>
      <c r="B60" s="11" t="n"/>
      <c r="C60" s="11" t="n"/>
      <c r="D60" s="470" t="n"/>
      <c r="E60" s="471" t="inlineStr">
        <is>
          <t>OR</t>
        </is>
      </c>
      <c r="F60" s="24" t="n"/>
      <c r="G60" s="24" t="n"/>
      <c r="H60" s="69" t="n"/>
      <c r="I60" s="69" t="n"/>
      <c r="J60" s="69" t="n"/>
      <c r="K60" s="69" t="n"/>
      <c r="L60" s="69" t="n"/>
      <c r="M60" s="24" t="n"/>
      <c r="N60" s="24" t="n"/>
      <c r="O60" s="69" t="n"/>
      <c r="P60" s="69" t="n"/>
      <c r="Q60" s="69" t="n"/>
      <c r="R60" s="69" t="n"/>
      <c r="S60" s="69" t="n"/>
      <c r="T60" s="24" t="n"/>
      <c r="U60" s="24" t="n"/>
      <c r="V60" s="69" t="n"/>
      <c r="W60" s="69" t="n"/>
      <c r="X60" s="69" t="n"/>
      <c r="Y60" s="69" t="n"/>
      <c r="Z60" s="69" t="n"/>
      <c r="AA60" s="24" t="n"/>
      <c r="AB60" s="24" t="n"/>
      <c r="AC60" s="756" t="n"/>
      <c r="AD60" s="756" t="n"/>
      <c r="AE60" s="343" t="n"/>
      <c r="AF60" s="756" t="n"/>
      <c r="AG60" s="756" t="n"/>
      <c r="AH60" s="24" t="n"/>
      <c r="AI60" s="4" t="n"/>
    </row>
    <row r="61" hidden="1" ht="19.5" customHeight="1" s="757" thickBot="1">
      <c r="A61" s="14" t="inlineStr">
        <is>
          <t>FIREFOX MATINS</t>
        </is>
      </c>
      <c r="B61" s="15" t="n"/>
      <c r="C61" s="15" t="n"/>
      <c r="D61" s="469" t="n"/>
      <c r="E61" s="469" t="n"/>
      <c r="F61" s="35" t="n"/>
      <c r="G61" s="35" t="n"/>
      <c r="H61" s="224" t="n"/>
      <c r="I61" s="224" t="n"/>
      <c r="J61" s="224" t="n"/>
      <c r="K61" s="224" t="n"/>
      <c r="L61" s="224" t="n"/>
      <c r="M61" s="35" t="n"/>
      <c r="N61" s="35" t="n"/>
      <c r="O61" s="224" t="n"/>
      <c r="P61" s="224" t="n"/>
      <c r="Q61" s="224" t="n"/>
      <c r="R61" s="224" t="n"/>
      <c r="S61" s="224" t="n"/>
      <c r="T61" s="35" t="n"/>
      <c r="U61" s="35" t="n"/>
      <c r="V61" s="224" t="n"/>
      <c r="W61" s="224" t="n"/>
      <c r="X61" s="224" t="n"/>
      <c r="Y61" s="224" t="n"/>
      <c r="Z61" s="224" t="n"/>
      <c r="AA61" s="35" t="n"/>
      <c r="AB61" s="35" t="n"/>
      <c r="AC61" s="778" t="n"/>
      <c r="AD61" s="778" t="n"/>
      <c r="AE61" s="778" t="n"/>
      <c r="AF61" s="778" t="n"/>
      <c r="AG61" s="778" t="n"/>
      <c r="AH61" s="35" t="n"/>
      <c r="AI61" s="4" t="n"/>
      <c r="AJ61" s="461" t="n">
        <v>33</v>
      </c>
      <c r="AK61" s="653" t="inlineStr">
        <is>
          <t>004 FCOV05 - ANGLES 5,5H</t>
        </is>
      </c>
    </row>
    <row r="62" hidden="1" ht="15.75" customHeight="1" s="757">
      <c r="A62" s="17" t="inlineStr">
        <is>
          <t>GOOGLE TARDA</t>
        </is>
      </c>
      <c r="B62" s="18" t="n"/>
      <c r="C62" s="18" t="n"/>
      <c r="D62" s="755" t="n"/>
      <c r="E62" s="755" t="n"/>
      <c r="F62" s="39" t="n"/>
      <c r="G62" s="39" t="n"/>
      <c r="H62" s="135" t="n"/>
      <c r="I62" s="135" t="n"/>
      <c r="J62" s="135" t="n"/>
      <c r="K62" s="135" t="n"/>
      <c r="L62" s="135" t="n"/>
      <c r="M62" s="39" t="n"/>
      <c r="N62" s="39" t="n"/>
      <c r="O62" s="135" t="n"/>
      <c r="P62" s="135" t="n"/>
      <c r="Q62" s="135" t="n"/>
      <c r="R62" s="135" t="n"/>
      <c r="S62" s="135" t="n"/>
      <c r="T62" s="39" t="n"/>
      <c r="U62" s="39" t="n"/>
      <c r="V62" s="135" t="n"/>
      <c r="W62" s="135" t="n"/>
      <c r="X62" s="135" t="n"/>
      <c r="Y62" s="135" t="n"/>
      <c r="Z62" s="135" t="n"/>
      <c r="AA62" s="39" t="n"/>
      <c r="AB62" s="39" t="n"/>
      <c r="AC62" s="755" t="n"/>
      <c r="AD62" s="755" t="n"/>
      <c r="AE62" s="755" t="n"/>
      <c r="AF62" s="755" t="n"/>
      <c r="AG62" s="755" t="n"/>
      <c r="AH62" s="39" t="n"/>
      <c r="AI62" s="4" t="n"/>
    </row>
    <row r="63" hidden="1" ht="15.75" customHeight="1" s="757">
      <c r="A63" s="10" t="inlineStr">
        <is>
          <t>FIREFOX TARDA</t>
        </is>
      </c>
      <c r="B63" s="11" t="n"/>
      <c r="C63" s="11" t="n"/>
      <c r="D63" s="756" t="n"/>
      <c r="E63" s="756" t="n"/>
      <c r="F63" s="24" t="n"/>
      <c r="G63" s="24" t="n"/>
      <c r="H63" s="69" t="n"/>
      <c r="I63" s="69" t="n"/>
      <c r="J63" s="69" t="n"/>
      <c r="K63" s="69" t="n"/>
      <c r="L63" s="69" t="n"/>
      <c r="M63" s="24" t="n"/>
      <c r="N63" s="24" t="n"/>
      <c r="O63" s="69" t="n"/>
      <c r="P63" s="69" t="n"/>
      <c r="Q63" s="69" t="n"/>
      <c r="R63" s="69" t="n"/>
      <c r="S63" s="69" t="n"/>
      <c r="T63" s="24" t="n"/>
      <c r="U63" s="24" t="n"/>
      <c r="V63" s="69" t="n"/>
      <c r="W63" s="69" t="n"/>
      <c r="X63" s="69" t="n"/>
      <c r="Y63" s="69" t="n"/>
      <c r="Z63" s="69" t="n"/>
      <c r="AA63" s="24" t="n"/>
      <c r="AB63" s="24" t="n"/>
      <c r="AC63" s="756" t="n"/>
      <c r="AD63" s="756" t="n"/>
      <c r="AE63" s="756" t="n"/>
      <c r="AF63" s="756" t="n"/>
      <c r="AG63" s="756" t="n"/>
      <c r="AH63" s="24" t="n"/>
      <c r="AI63" s="4" t="n"/>
    </row>
    <row r="64" hidden="1" ht="15.75" customHeight="1" s="757">
      <c r="A64" s="10" t="inlineStr">
        <is>
          <t>TARRAGONA matí</t>
        </is>
      </c>
      <c r="B64" s="11" t="n"/>
      <c r="C64" s="11" t="n"/>
      <c r="D64" s="756" t="n"/>
      <c r="E64" s="756" t="n"/>
      <c r="F64" s="24" t="n"/>
      <c r="G64" s="24" t="n"/>
      <c r="H64" s="69" t="n"/>
      <c r="I64" s="69" t="n"/>
      <c r="J64" s="69" t="n"/>
      <c r="K64" s="69" t="n"/>
      <c r="L64" s="69" t="n"/>
      <c r="M64" s="24" t="n"/>
      <c r="N64" s="24" t="n"/>
      <c r="O64" s="69" t="n"/>
      <c r="P64" s="69" t="n"/>
      <c r="Q64" s="69" t="n"/>
      <c r="R64" s="69" t="n"/>
      <c r="S64" s="69" t="n"/>
      <c r="T64" s="24" t="n"/>
      <c r="U64" s="24" t="n"/>
      <c r="V64" s="69" t="n"/>
      <c r="W64" s="69" t="n"/>
      <c r="X64" s="69" t="n"/>
      <c r="Y64" s="69" t="n"/>
      <c r="Z64" s="69" t="n"/>
      <c r="AA64" s="24" t="n"/>
      <c r="AB64" s="24" t="n"/>
      <c r="AC64" s="756" t="n"/>
      <c r="AD64" s="756" t="n"/>
      <c r="AE64" s="756" t="n"/>
      <c r="AF64" s="756" t="n"/>
      <c r="AG64" s="756" t="n"/>
      <c r="AH64" s="24" t="n"/>
      <c r="AI64" s="4" t="n"/>
    </row>
    <row r="65" hidden="1" ht="15.75" customHeight="1" s="757">
      <c r="A65" s="10" t="inlineStr">
        <is>
          <t>TARRAGONA tarda</t>
        </is>
      </c>
      <c r="B65" s="11" t="n"/>
      <c r="C65" s="11" t="n"/>
      <c r="D65" s="756" t="n"/>
      <c r="E65" s="756" t="n"/>
      <c r="F65" s="24" t="n"/>
      <c r="G65" s="24" t="n"/>
      <c r="H65" s="69" t="n"/>
      <c r="I65" s="69" t="n"/>
      <c r="J65" s="69" t="n"/>
      <c r="K65" s="69" t="n"/>
      <c r="L65" s="69" t="n"/>
      <c r="M65" s="24" t="n"/>
      <c r="N65" s="24" t="n"/>
      <c r="O65" s="69" t="n"/>
      <c r="P65" s="69" t="n"/>
      <c r="Q65" s="69" t="n"/>
      <c r="R65" s="69" t="n"/>
      <c r="S65" s="69" t="n"/>
      <c r="T65" s="24" t="n"/>
      <c r="U65" s="24" t="n"/>
      <c r="V65" s="69" t="n"/>
      <c r="W65" s="69" t="n"/>
      <c r="X65" s="69" t="n"/>
      <c r="Y65" s="69" t="n"/>
      <c r="Z65" s="69" t="n"/>
      <c r="AA65" s="24" t="n"/>
      <c r="AB65" s="24" t="n"/>
      <c r="AC65" s="756" t="n"/>
      <c r="AD65" s="756" t="n"/>
      <c r="AE65" s="756" t="n"/>
      <c r="AF65" s="756" t="n"/>
      <c r="AG65" s="756" t="n"/>
      <c r="AH65" s="24" t="n"/>
      <c r="AI65" s="4" t="n"/>
    </row>
    <row r="66">
      <c r="AI66" s="4" t="n"/>
      <c r="BC66" s="774" t="n"/>
    </row>
    <row r="67" hidden="1" ht="19.5" customHeight="1" s="757">
      <c r="A67" s="798" t="inlineStr">
        <is>
          <t>JULIOL 2025</t>
        </is>
      </c>
      <c r="B67" s="156" t="n"/>
      <c r="C67" s="156" t="n"/>
      <c r="D67" s="156" t="n"/>
      <c r="E67" s="156" t="n"/>
      <c r="F67" s="156" t="n"/>
      <c r="G67" s="156" t="n"/>
      <c r="H67" s="156" t="n"/>
      <c r="I67" s="156" t="n"/>
      <c r="J67" s="156" t="n"/>
      <c r="K67" s="156" t="n"/>
      <c r="L67" s="156" t="n"/>
      <c r="M67" s="156" t="n"/>
      <c r="N67" s="156" t="n"/>
      <c r="O67" s="156" t="n"/>
      <c r="P67" s="156" t="n"/>
      <c r="Q67" s="156" t="n"/>
      <c r="R67" s="156" t="n"/>
      <c r="S67" s="156" t="n"/>
      <c r="T67" s="156" t="n"/>
      <c r="U67" s="156" t="n"/>
      <c r="V67" s="156" t="n"/>
      <c r="W67" s="156" t="n"/>
      <c r="X67" s="156" t="n"/>
      <c r="Y67" s="156" t="n"/>
      <c r="Z67" s="156" t="n"/>
      <c r="AA67" s="156" t="n"/>
      <c r="AB67" s="156" t="n"/>
      <c r="AC67" s="156" t="n"/>
      <c r="AD67" s="156" t="n"/>
      <c r="AE67" s="156" t="n"/>
      <c r="AF67" s="156" t="n"/>
      <c r="AG67" s="156" t="n"/>
      <c r="AH67" s="142" t="n"/>
      <c r="AI67" s="4" t="n">
        <v>22</v>
      </c>
    </row>
    <row r="68" hidden="1" ht="73.5" customHeight="1" s="757">
      <c r="A68" s="7" t="inlineStr">
        <is>
          <t>AULA</t>
        </is>
      </c>
      <c r="B68" s="8" t="inlineStr">
        <is>
          <t>INICI</t>
        </is>
      </c>
      <c r="C68" s="8" t="inlineStr">
        <is>
          <t>FINAL</t>
        </is>
      </c>
      <c r="D68" s="9" t="n">
        <v>45839</v>
      </c>
      <c r="E68" s="9" t="n">
        <v>45840</v>
      </c>
      <c r="F68" s="9" t="n">
        <v>45841</v>
      </c>
      <c r="G68" s="9" t="n">
        <v>45842</v>
      </c>
      <c r="H68" s="9" t="n">
        <v>45843</v>
      </c>
      <c r="I68" s="9" t="n">
        <v>45844</v>
      </c>
      <c r="J68" s="9" t="n">
        <v>45845</v>
      </c>
      <c r="K68" s="9" t="n">
        <v>45846</v>
      </c>
      <c r="L68" s="9" t="n">
        <v>45847</v>
      </c>
      <c r="M68" s="9" t="n">
        <v>45848</v>
      </c>
      <c r="N68" s="9" t="n">
        <v>45849</v>
      </c>
      <c r="O68" s="9" t="n">
        <v>45850</v>
      </c>
      <c r="P68" s="9" t="n">
        <v>45851</v>
      </c>
      <c r="Q68" s="9" t="n">
        <v>45852</v>
      </c>
      <c r="R68" s="9" t="n">
        <v>45853</v>
      </c>
      <c r="S68" s="9" t="n">
        <v>45854</v>
      </c>
      <c r="T68" s="9" t="n">
        <v>45855</v>
      </c>
      <c r="U68" s="9" t="n">
        <v>45856</v>
      </c>
      <c r="V68" s="9" t="n">
        <v>45857</v>
      </c>
      <c r="W68" s="9" t="n">
        <v>45858</v>
      </c>
      <c r="X68" s="9" t="n">
        <v>45859</v>
      </c>
      <c r="Y68" s="9" t="n">
        <v>45860</v>
      </c>
      <c r="Z68" s="9" t="n">
        <v>45861</v>
      </c>
      <c r="AA68" s="9" t="n">
        <v>45862</v>
      </c>
      <c r="AB68" s="9" t="n">
        <v>45863</v>
      </c>
      <c r="AC68" s="9" t="n">
        <v>45864</v>
      </c>
      <c r="AD68" s="9" t="n">
        <v>45865</v>
      </c>
      <c r="AE68" s="9" t="n">
        <v>45866</v>
      </c>
      <c r="AF68" s="9" t="n">
        <v>45867</v>
      </c>
      <c r="AG68" s="9" t="n">
        <v>45868</v>
      </c>
      <c r="AH68" s="9" t="n">
        <v>45869</v>
      </c>
      <c r="AI68" s="4" t="n"/>
    </row>
    <row r="69" hidden="1" ht="12" customHeight="1" s="757">
      <c r="A69" s="10" t="inlineStr">
        <is>
          <t>GOOGLE MATINS</t>
        </is>
      </c>
      <c r="B69" s="11" t="n"/>
      <c r="C69" s="11" t="n"/>
      <c r="D69" s="31" t="n"/>
      <c r="E69" s="31" t="n"/>
      <c r="F69" s="31" t="n"/>
      <c r="G69" s="475" t="n"/>
      <c r="H69" s="24" t="n"/>
      <c r="I69" s="24" t="n"/>
      <c r="J69" s="567" t="inlineStr">
        <is>
          <t xml:space="preserve">RAFA INSERCIO </t>
        </is>
      </c>
      <c r="K69" s="567" t="inlineStr">
        <is>
          <t>MARIA</t>
        </is>
      </c>
      <c r="L69" s="75" t="inlineStr">
        <is>
          <t>PRL</t>
        </is>
      </c>
      <c r="M69" s="499" t="inlineStr">
        <is>
          <t xml:space="preserve">RAFA INSERCIO </t>
        </is>
      </c>
      <c r="N69" s="75" t="n"/>
      <c r="O69" s="24" t="n"/>
      <c r="P69" s="24" t="n"/>
      <c r="Q69" s="75" t="n"/>
      <c r="R69" s="26" t="n"/>
      <c r="S69" s="75" t="n"/>
      <c r="T69" s="75" t="n"/>
      <c r="U69" s="75" t="n"/>
      <c r="V69" s="24" t="n"/>
      <c r="W69" s="24" t="n"/>
      <c r="X69" s="495" t="inlineStr">
        <is>
          <t>FCOI19</t>
        </is>
      </c>
      <c r="Y69" s="31" t="n"/>
      <c r="Z69" s="31" t="n"/>
      <c r="AA69" s="31" t="n"/>
      <c r="AB69" s="31" t="n"/>
      <c r="AC69" s="24" t="n"/>
      <c r="AD69" s="24" t="n"/>
      <c r="AE69" s="31" t="n"/>
      <c r="AF69" s="31" t="n"/>
      <c r="AG69" s="31" t="n"/>
      <c r="AH69" s="493" t="inlineStr">
        <is>
          <t>EXAMEN</t>
        </is>
      </c>
      <c r="AI69" s="4" t="n"/>
      <c r="AK69" s="482" t="inlineStr">
        <is>
          <t>ADGG0208 (5'5H/D) 9h a 14:30h</t>
        </is>
      </c>
      <c r="AL69" s="483" t="n"/>
      <c r="AM69" s="483" t="n"/>
      <c r="AN69" s="484" t="n"/>
      <c r="AO69" s="799" t="inlineStr">
        <is>
          <t>ORIENTACIO</t>
        </is>
      </c>
      <c r="AP69" s="800" t="n"/>
      <c r="AQ69" s="801" t="inlineStr">
        <is>
          <t>FCO 5/H +OR</t>
        </is>
      </c>
      <c r="AR69" s="800" t="n"/>
      <c r="AS69" s="802" t="inlineStr">
        <is>
          <t>FCO H/D 9H A 14:00H</t>
        </is>
      </c>
      <c r="AT69" s="803" t="n"/>
      <c r="AU69" s="800" t="n"/>
      <c r="AV69" s="485" t="n"/>
      <c r="AW69" s="568" t="inlineStr">
        <is>
          <t>FCOI19 5H/D  9h a 14h</t>
        </is>
      </c>
      <c r="AX69" s="480" t="n"/>
      <c r="AY69" s="480" t="n"/>
      <c r="AZ69" s="481" t="n"/>
    </row>
    <row r="70" hidden="1" ht="12" customHeight="1" s="757">
      <c r="A70" s="10" t="inlineStr">
        <is>
          <t>FIREFOX matí</t>
        </is>
      </c>
      <c r="B70" s="456" t="n"/>
      <c r="C70" s="456" t="n"/>
      <c r="D70" s="424" t="n"/>
      <c r="E70" s="424" t="n"/>
      <c r="F70" s="424" t="n"/>
      <c r="G70" s="424" t="n"/>
      <c r="H70" s="119" t="n"/>
      <c r="I70" s="119" t="n"/>
      <c r="J70" s="313" t="n"/>
      <c r="K70" s="569" t="inlineStr">
        <is>
          <t>MF0063_3</t>
        </is>
      </c>
      <c r="L70" s="31" t="n"/>
      <c r="M70" s="478" t="n"/>
      <c r="N70" s="31" t="n"/>
      <c r="O70" s="119" t="n"/>
      <c r="P70" s="119" t="n"/>
      <c r="Q70" s="486" t="n"/>
      <c r="R70" s="218" t="n"/>
      <c r="S70" s="479" t="n"/>
      <c r="T70" s="31" t="n"/>
      <c r="U70" s="424" t="n"/>
      <c r="V70" s="119" t="n"/>
      <c r="W70" s="119" t="n"/>
      <c r="X70" s="424" t="n"/>
      <c r="Y70" s="424" t="n"/>
      <c r="Z70" s="424" t="n"/>
      <c r="AA70" s="424" t="n"/>
      <c r="AB70" s="424" t="n"/>
      <c r="AC70" s="119" t="n"/>
      <c r="AD70" s="119" t="n"/>
      <c r="AE70" s="424" t="n"/>
      <c r="AF70" s="424" t="n"/>
      <c r="AG70" s="424" t="n"/>
      <c r="AH70" s="424" t="n"/>
      <c r="AI70" s="4" t="n"/>
      <c r="AJ70">
        <f>#REF!+AI67</f>
        <v/>
      </c>
      <c r="AK70" s="568" t="inlineStr">
        <is>
          <t>IMPE0110 6H/D   9 a 15h</t>
        </is>
      </c>
      <c r="AL70" s="480" t="n"/>
      <c r="AM70" s="480" t="n"/>
      <c r="AN70" s="570" t="n"/>
    </row>
    <row r="71" hidden="1" ht="12" customHeight="1" s="757">
      <c r="A71" s="14" t="inlineStr">
        <is>
          <t>COPILTO matí</t>
        </is>
      </c>
      <c r="B71" s="15" t="n"/>
      <c r="C71" s="15" t="n"/>
      <c r="D71" s="778" t="n"/>
      <c r="E71" s="778" t="n"/>
      <c r="F71" s="778" t="n"/>
      <c r="G71" s="778" t="n"/>
      <c r="H71" s="35" t="n"/>
      <c r="I71" s="35" t="n"/>
      <c r="J71" s="778" t="n"/>
      <c r="K71" s="778" t="n"/>
      <c r="L71" s="778" t="n"/>
      <c r="M71" s="778" t="n"/>
      <c r="N71" s="778" t="n"/>
      <c r="O71" s="35" t="n"/>
      <c r="P71" s="35" t="n"/>
      <c r="Q71" s="778" t="n"/>
      <c r="R71" s="27" t="n"/>
      <c r="S71" s="778" t="n"/>
      <c r="T71" s="778" t="n"/>
      <c r="U71" s="778" t="n"/>
      <c r="V71" s="35" t="n"/>
      <c r="W71" s="35" t="n"/>
      <c r="X71" s="778" t="n"/>
      <c r="Y71" s="778" t="n"/>
      <c r="Z71" s="778" t="n"/>
      <c r="AA71" s="778" t="n"/>
      <c r="AB71" s="778" t="n"/>
      <c r="AC71" s="35" t="n"/>
      <c r="AD71" s="35" t="n"/>
      <c r="AE71" s="778" t="n"/>
      <c r="AF71" s="778" t="n"/>
      <c r="AG71" s="778" t="n"/>
      <c r="AH71" s="778" t="n"/>
      <c r="AI71" s="4" t="n"/>
    </row>
    <row r="72" hidden="1" ht="1.5" customHeight="1" s="757">
      <c r="A72" s="17" t="inlineStr">
        <is>
          <t>GOOGLE tarda</t>
        </is>
      </c>
      <c r="B72" s="18" t="n"/>
      <c r="C72" s="18" t="n"/>
      <c r="D72" s="755" t="n"/>
      <c r="E72" s="755" t="n"/>
      <c r="F72" s="755" t="n"/>
      <c r="G72" s="755" t="n"/>
      <c r="H72" s="39" t="n"/>
      <c r="I72" s="39" t="n"/>
      <c r="J72" s="755" t="n"/>
      <c r="K72" s="755" t="n"/>
      <c r="M72" s="755" t="n"/>
      <c r="N72" s="755" t="n"/>
      <c r="O72" s="39" t="n"/>
      <c r="P72" s="39" t="n"/>
      <c r="Q72" s="755" t="n"/>
      <c r="R72" s="28" t="n"/>
      <c r="S72" s="755" t="n"/>
      <c r="T72" s="755" t="n"/>
      <c r="U72" s="755" t="n"/>
      <c r="V72" s="39" t="n"/>
      <c r="W72" s="39" t="n"/>
      <c r="X72" s="755" t="n"/>
      <c r="Y72" s="755" t="n"/>
      <c r="Z72" s="755" t="n"/>
      <c r="AA72" s="755" t="n"/>
      <c r="AB72" s="755" t="n"/>
      <c r="AC72" s="39" t="n"/>
      <c r="AD72" s="39" t="n"/>
      <c r="AE72" s="755" t="n"/>
      <c r="AF72" s="755" t="n"/>
      <c r="AG72" s="755" t="n"/>
      <c r="AH72" s="755" t="n"/>
      <c r="AI72" s="4" t="n"/>
    </row>
    <row r="73" hidden="1" ht="18" customHeight="1" s="757">
      <c r="A73" s="10" t="inlineStr">
        <is>
          <t>FIREFOX tarda</t>
        </is>
      </c>
      <c r="B73" s="11" t="n"/>
      <c r="C73" s="11" t="n"/>
      <c r="D73" s="756" t="n"/>
      <c r="E73" s="491" t="inlineStr">
        <is>
          <t>COML16</t>
        </is>
      </c>
      <c r="F73" s="491" t="inlineStr">
        <is>
          <t>COML16</t>
        </is>
      </c>
      <c r="G73" s="491" t="inlineStr">
        <is>
          <t>COML16</t>
        </is>
      </c>
      <c r="H73" s="24" t="n"/>
      <c r="I73" s="24" t="n"/>
      <c r="J73" s="492" t="inlineStr">
        <is>
          <t>prac</t>
        </is>
      </c>
      <c r="K73" s="756" t="n"/>
      <c r="L73" s="756" t="n"/>
      <c r="M73" s="756" t="n"/>
      <c r="N73" s="756" t="n"/>
      <c r="O73" s="24" t="n"/>
      <c r="P73" s="24" t="n"/>
      <c r="Q73" s="756" t="n"/>
      <c r="R73" s="26" t="n"/>
      <c r="S73" s="756" t="n"/>
      <c r="T73" s="756" t="n"/>
      <c r="U73" s="756" t="n"/>
      <c r="V73" s="24" t="n"/>
      <c r="W73" s="24" t="n"/>
      <c r="X73" s="756" t="n"/>
      <c r="Y73" s="756" t="n"/>
      <c r="Z73" s="756" t="n"/>
      <c r="AA73" s="756" t="n"/>
      <c r="AB73" s="756" t="n"/>
      <c r="AC73" s="24" t="n"/>
      <c r="AD73" s="24" t="n"/>
      <c r="AE73" s="756" t="n"/>
      <c r="AF73" s="756" t="n"/>
      <c r="AG73" s="756" t="n"/>
      <c r="AH73" s="756" t="n"/>
      <c r="AI73" s="4" t="n"/>
      <c r="AK73" s="650" t="inlineStr">
        <is>
          <t>COML16 (21H)CARRETONS MASTIL RETRACTIL... FINS 10.000KG     5h /dia (16:00H A 21:00H)  día 7 de 16h a 22h</t>
        </is>
      </c>
      <c r="AL73" s="803" t="n"/>
      <c r="AM73" s="803" t="n"/>
      <c r="AN73" s="803" t="n"/>
      <c r="AO73" s="803" t="n"/>
      <c r="AP73" s="803" t="n"/>
      <c r="AQ73" s="803" t="n"/>
      <c r="AR73" s="803" t="n"/>
      <c r="AS73" s="803" t="n"/>
      <c r="AT73" s="571" t="inlineStr">
        <is>
          <t>5h/dia</t>
        </is>
      </c>
    </row>
    <row r="74" hidden="1" ht="16.5" customHeight="1" s="757" thickBot="1">
      <c r="A74" s="14" t="inlineStr">
        <is>
          <t>COPILOT tarda</t>
        </is>
      </c>
      <c r="B74" s="15" t="n"/>
      <c r="C74" s="15" t="n"/>
      <c r="D74" s="778" t="n"/>
      <c r="E74" s="778" t="n"/>
      <c r="F74" s="778" t="n"/>
      <c r="G74" s="778" t="n"/>
      <c r="H74" s="35" t="n"/>
      <c r="I74" s="35" t="n"/>
      <c r="J74" s="778" t="n"/>
      <c r="K74" s="778" t="n"/>
      <c r="L74" s="778" t="n"/>
      <c r="M74" s="778" t="n"/>
      <c r="N74" s="778" t="n"/>
      <c r="O74" s="35" t="n"/>
      <c r="P74" s="35" t="n"/>
      <c r="Q74" s="778" t="n"/>
      <c r="R74" s="27" t="n"/>
      <c r="S74" s="778" t="n"/>
      <c r="T74" s="778" t="n"/>
      <c r="U74" s="778" t="n"/>
      <c r="V74" s="35" t="n"/>
      <c r="W74" s="35" t="n"/>
      <c r="X74" s="778" t="n"/>
      <c r="Y74" s="778" t="n"/>
      <c r="Z74" s="778" t="n"/>
      <c r="AA74" s="778" t="n"/>
      <c r="AB74" s="778" t="n"/>
      <c r="AC74" s="35" t="n"/>
      <c r="AD74" s="35" t="n"/>
      <c r="AE74" s="778" t="n"/>
      <c r="AF74" s="778" t="n"/>
      <c r="AG74" s="778" t="n"/>
      <c r="AH74" s="778" t="n"/>
    </row>
    <row r="75" hidden="1" ht="15.75" customHeight="1" s="757">
      <c r="A75" s="10" t="inlineStr">
        <is>
          <t>TARRAGONA matí</t>
        </is>
      </c>
      <c r="B75" s="11" t="n"/>
      <c r="C75" s="11" t="n"/>
      <c r="D75" s="756" t="n"/>
      <c r="E75" s="756" t="n"/>
      <c r="F75" s="756" t="n"/>
      <c r="G75" s="756" t="n"/>
      <c r="H75" s="24" t="n"/>
      <c r="I75" s="24" t="n"/>
      <c r="J75" s="756" t="n"/>
      <c r="K75" s="756" t="n"/>
      <c r="L75" s="496" t="inlineStr">
        <is>
          <t>ICIQ</t>
        </is>
      </c>
      <c r="M75" s="756" t="n"/>
      <c r="N75" s="756" t="n"/>
      <c r="O75" s="24" t="n"/>
      <c r="P75" s="24" t="n"/>
      <c r="Q75" s="756" t="n"/>
      <c r="R75" s="26" t="n"/>
      <c r="S75" s="756" t="n"/>
      <c r="T75" s="756" t="n"/>
      <c r="U75" s="756" t="n"/>
      <c r="V75" s="24" t="n"/>
      <c r="W75" s="24" t="n"/>
      <c r="X75" s="496" t="n"/>
      <c r="Y75" s="756" t="n"/>
      <c r="Z75" s="756" t="n"/>
      <c r="AA75" s="756" t="n"/>
      <c r="AB75" s="756" t="n"/>
      <c r="AC75" s="24" t="n"/>
      <c r="AD75" s="24" t="n"/>
      <c r="AE75" s="756" t="n"/>
      <c r="AF75" s="756" t="n"/>
      <c r="AG75" s="756" t="n"/>
      <c r="AH75" s="756" t="n"/>
      <c r="AI75" s="524" t="n"/>
      <c r="AJ75" s="473" t="n"/>
      <c r="AK75" s="498" t="inlineStr">
        <is>
          <t>ICIQ TARRAGONA INST. EMPRESA</t>
        </is>
      </c>
      <c r="AL75" s="498" t="n"/>
      <c r="AM75" s="497" t="n"/>
      <c r="AN75" s="497" t="n"/>
      <c r="AO75" s="497" t="n"/>
    </row>
    <row r="76" hidden="1" ht="19.5" customHeight="1" s="757">
      <c r="A76" s="10" t="inlineStr">
        <is>
          <t>TARRAGONA tarde</t>
        </is>
      </c>
      <c r="B76" s="11" t="n"/>
      <c r="C76" s="11" t="n"/>
      <c r="D76" s="756" t="n"/>
      <c r="E76" s="756" t="n"/>
      <c r="F76" s="756" t="n"/>
      <c r="G76" s="756" t="n"/>
      <c r="H76" s="24" t="n"/>
      <c r="I76" s="24" t="n"/>
      <c r="J76" s="756" t="n"/>
      <c r="K76" s="756" t="n"/>
      <c r="L76" s="756" t="n"/>
      <c r="M76" s="756" t="n"/>
      <c r="N76" s="756" t="n"/>
      <c r="O76" s="24" t="n"/>
      <c r="P76" s="24" t="n"/>
      <c r="Q76" s="756" t="n"/>
      <c r="R76" s="26" t="n"/>
      <c r="S76" s="756" t="n"/>
      <c r="T76" s="756" t="n"/>
      <c r="U76" s="756" t="n"/>
      <c r="V76" s="24" t="n"/>
      <c r="W76" s="24" t="n"/>
      <c r="X76" s="756" t="n"/>
      <c r="Y76" s="756" t="n"/>
      <c r="Z76" s="756" t="n"/>
      <c r="AA76" s="756" t="n"/>
      <c r="AB76" s="756" t="n"/>
      <c r="AC76" s="24" t="n"/>
      <c r="AD76" s="24" t="n"/>
      <c r="AE76" s="756" t="n"/>
      <c r="AF76" s="756" t="n"/>
      <c r="AG76" s="756" t="n"/>
      <c r="AH76" s="756" t="n"/>
      <c r="AI76" s="4" t="n"/>
    </row>
    <row r="77" hidden="1" s="757">
      <c r="AI77" s="4" t="n"/>
      <c r="AJ77" s="774" t="n"/>
    </row>
    <row r="78" hidden="1" ht="18.75" customHeight="1" s="757">
      <c r="A78" s="798" t="inlineStr">
        <is>
          <t>AGOST 2025</t>
        </is>
      </c>
      <c r="B78" s="156" t="n"/>
      <c r="C78" s="156" t="n"/>
      <c r="D78" s="156" t="n"/>
      <c r="E78" s="156" t="n"/>
      <c r="F78" s="156" t="n"/>
      <c r="G78" s="156" t="n"/>
      <c r="H78" s="156" t="n"/>
      <c r="I78" s="156" t="n"/>
      <c r="J78" s="156" t="n"/>
      <c r="K78" s="156" t="n"/>
      <c r="L78" s="156" t="n"/>
      <c r="M78" s="156" t="n"/>
      <c r="N78" s="156" t="n"/>
      <c r="O78" s="156" t="n"/>
      <c r="P78" s="156" t="n"/>
      <c r="Q78" s="156" t="n"/>
      <c r="R78" s="156" t="n"/>
      <c r="S78" s="156" t="n"/>
      <c r="T78" s="156" t="n"/>
      <c r="U78" s="156" t="n"/>
      <c r="V78" s="156" t="n"/>
      <c r="W78" s="156" t="n"/>
      <c r="X78" s="156" t="n"/>
      <c r="Y78" s="156" t="n"/>
      <c r="Z78" s="156" t="n"/>
      <c r="AA78" s="156" t="n"/>
      <c r="AB78" s="156" t="n"/>
      <c r="AC78" s="156" t="n"/>
      <c r="AD78" s="156" t="n"/>
      <c r="AE78" s="156" t="n"/>
      <c r="AF78" s="156" t="n"/>
      <c r="AG78" s="156" t="n"/>
      <c r="AH78" s="142" t="n"/>
      <c r="AI78" s="4" t="n">
        <v>1</v>
      </c>
      <c r="AJ78" s="774" t="n"/>
    </row>
    <row r="79" hidden="1" ht="56.25" customFormat="1" customHeight="1" s="505">
      <c r="A79" s="501" t="inlineStr">
        <is>
          <t>AULA</t>
        </is>
      </c>
      <c r="B79" s="502" t="inlineStr">
        <is>
          <t>INICI</t>
        </is>
      </c>
      <c r="C79" s="502" t="inlineStr">
        <is>
          <t>FINAL</t>
        </is>
      </c>
      <c r="D79" s="503" t="n">
        <v>45870</v>
      </c>
      <c r="E79" s="503" t="n">
        <v>45871</v>
      </c>
      <c r="F79" s="503" t="n">
        <v>45872</v>
      </c>
      <c r="G79" s="503" t="n">
        <v>45873</v>
      </c>
      <c r="H79" s="503" t="n">
        <v>45874</v>
      </c>
      <c r="I79" s="503" t="n">
        <v>45875</v>
      </c>
      <c r="J79" s="503" t="n">
        <v>45876</v>
      </c>
      <c r="K79" s="503" t="n">
        <v>45877</v>
      </c>
      <c r="L79" s="503" t="n">
        <v>45878</v>
      </c>
      <c r="M79" s="503" t="n">
        <v>45879</v>
      </c>
      <c r="N79" s="503" t="n">
        <v>45880</v>
      </c>
      <c r="O79" s="503" t="n">
        <v>45881</v>
      </c>
      <c r="P79" s="503" t="n">
        <v>45882</v>
      </c>
      <c r="Q79" s="503" t="n">
        <v>45883</v>
      </c>
      <c r="R79" s="503" t="n">
        <v>45884</v>
      </c>
      <c r="S79" s="503" t="n">
        <v>45885</v>
      </c>
      <c r="T79" s="503" t="n">
        <v>45886</v>
      </c>
      <c r="U79" s="503" t="n">
        <v>45887</v>
      </c>
      <c r="V79" s="503" t="n">
        <v>45888</v>
      </c>
      <c r="W79" s="503" t="n">
        <v>45889</v>
      </c>
      <c r="X79" s="503" t="n">
        <v>45890</v>
      </c>
      <c r="Y79" s="503" t="n">
        <v>45891</v>
      </c>
      <c r="Z79" s="503" t="n">
        <v>45892</v>
      </c>
      <c r="AA79" s="503" t="n">
        <v>45893</v>
      </c>
      <c r="AB79" s="503" t="n">
        <v>45894</v>
      </c>
      <c r="AC79" s="503" t="n">
        <v>45895</v>
      </c>
      <c r="AD79" s="503" t="n">
        <v>45896</v>
      </c>
      <c r="AE79" s="503" t="n">
        <v>45897</v>
      </c>
      <c r="AF79" s="503" t="n">
        <v>45898</v>
      </c>
      <c r="AG79" s="503" t="n">
        <v>45899</v>
      </c>
      <c r="AH79" s="503" t="n">
        <v>45900</v>
      </c>
      <c r="AI79" s="504" t="n"/>
    </row>
    <row r="80" hidden="1" ht="15.75" customHeight="1" s="757">
      <c r="A80" s="10" t="inlineStr">
        <is>
          <t>GOOGLE MATINS</t>
        </is>
      </c>
      <c r="B80" s="11" t="n"/>
      <c r="C80" s="11" t="n"/>
      <c r="D80" s="494" t="n"/>
      <c r="E80" s="79" t="n"/>
      <c r="F80" s="24" t="n"/>
      <c r="G80" s="69" t="n"/>
      <c r="H80" s="69" t="n"/>
      <c r="I80" s="69" t="n"/>
      <c r="J80" s="69" t="n"/>
      <c r="K80" s="69" t="n"/>
      <c r="L80" s="24" t="n"/>
      <c r="M80" s="24" t="n"/>
      <c r="N80" s="69" t="n"/>
      <c r="O80" s="69" t="n"/>
      <c r="P80" s="69" t="n"/>
      <c r="Q80" s="69" t="n"/>
      <c r="R80" s="26" t="n"/>
      <c r="S80" s="24" t="n"/>
      <c r="T80" s="24" t="n"/>
      <c r="U80" s="69" t="n"/>
      <c r="V80" s="69" t="n"/>
      <c r="W80" s="69" t="n"/>
      <c r="X80" s="69" t="n"/>
      <c r="Y80" s="69" t="n"/>
      <c r="Z80" s="24" t="n"/>
      <c r="AA80" s="24" t="n"/>
      <c r="AB80" s="32" t="n"/>
      <c r="AC80" s="32" t="n"/>
      <c r="AD80" s="32" t="n"/>
      <c r="AE80" s="32" t="n"/>
      <c r="AF80" s="32" t="n"/>
      <c r="AG80" s="24" t="n"/>
      <c r="AH80" s="24" t="n"/>
      <c r="AI80" s="4" t="n"/>
      <c r="AK80" s="572" t="n"/>
      <c r="AL80" s="774" t="n"/>
      <c r="AM80" s="774" t="n"/>
      <c r="AN80" s="774" t="n"/>
    </row>
    <row r="81" hidden="1" ht="16.5" customHeight="1" s="757" thickBot="1">
      <c r="A81" s="10" t="inlineStr">
        <is>
          <t>FIREFOX matí</t>
        </is>
      </c>
      <c r="B81" s="456" t="n"/>
      <c r="C81" s="456" t="n"/>
      <c r="D81" s="424" t="n"/>
      <c r="E81" s="24" t="n"/>
      <c r="F81" s="24" t="n"/>
      <c r="G81" s="31" t="n"/>
      <c r="H81" s="31" t="n"/>
      <c r="I81" s="31" t="n"/>
      <c r="J81" s="69" t="n"/>
      <c r="K81" s="69" t="n"/>
      <c r="L81" s="24" t="n"/>
      <c r="M81" s="24" t="n"/>
      <c r="N81" s="69" t="n"/>
      <c r="O81" s="69" t="n"/>
      <c r="P81" s="69" t="n"/>
      <c r="Q81" s="69" t="n"/>
      <c r="R81" s="26" t="n"/>
      <c r="S81" s="24" t="n"/>
      <c r="T81" s="24" t="n"/>
      <c r="U81" s="69" t="n"/>
      <c r="V81" s="69" t="n"/>
      <c r="W81" s="69" t="n"/>
      <c r="X81" s="69" t="n"/>
      <c r="Y81" s="69" t="n"/>
      <c r="Z81" s="24" t="n"/>
      <c r="AA81" s="24" t="n"/>
      <c r="AB81" s="756" t="n"/>
      <c r="AC81" s="756" t="n"/>
      <c r="AD81" s="756" t="n"/>
      <c r="AE81" s="756" t="n"/>
      <c r="AF81" s="756" t="n"/>
      <c r="AG81" s="24" t="n"/>
      <c r="AH81" s="24" t="n"/>
      <c r="AI81" s="4" t="n"/>
      <c r="AJ81">
        <f>AJ70+AI78</f>
        <v/>
      </c>
      <c r="AK81" s="804" t="inlineStr">
        <is>
          <t>IMPE0110 6H/D   9 a 15h</t>
        </is>
      </c>
      <c r="AL81" s="803" t="n"/>
      <c r="AM81" s="803" t="n"/>
      <c r="AN81" s="800" t="n"/>
    </row>
    <row r="82" hidden="1" ht="16.5" customHeight="1" s="757" thickBot="1">
      <c r="A82" s="14" t="inlineStr">
        <is>
          <t>COPILOT matí</t>
        </is>
      </c>
      <c r="B82" s="15" t="n"/>
      <c r="C82" s="15" t="n"/>
      <c r="D82" s="778" t="n"/>
      <c r="E82" s="35" t="n"/>
      <c r="F82" s="35" t="n"/>
      <c r="G82" s="224" t="n"/>
      <c r="H82" s="224" t="n"/>
      <c r="I82" s="224" t="n"/>
      <c r="J82" s="224" t="n"/>
      <c r="K82" s="224" t="n"/>
      <c r="L82" s="35" t="n"/>
      <c r="M82" s="35" t="n"/>
      <c r="N82" s="224" t="n"/>
      <c r="O82" s="224" t="n"/>
      <c r="P82" s="224" t="n"/>
      <c r="Q82" s="224" t="n"/>
      <c r="R82" s="27" t="n"/>
      <c r="S82" s="35" t="n"/>
      <c r="T82" s="35" t="n"/>
      <c r="U82" s="224" t="n"/>
      <c r="V82" s="224" t="n"/>
      <c r="W82" s="224" t="n"/>
      <c r="X82" s="224" t="n"/>
      <c r="Y82" s="224" t="n"/>
      <c r="Z82" s="35" t="n"/>
      <c r="AA82" s="35" t="n"/>
      <c r="AB82" s="778" t="n"/>
      <c r="AC82" s="778" t="n"/>
      <c r="AD82" s="778" t="n"/>
      <c r="AE82" s="778" t="n"/>
      <c r="AF82" s="778" t="n"/>
      <c r="AG82" s="35" t="n"/>
      <c r="AH82" s="35" t="n"/>
      <c r="AI82" s="4" t="n"/>
    </row>
    <row r="83" hidden="1" ht="15.75" customHeight="1" s="757">
      <c r="A83" s="17" t="inlineStr">
        <is>
          <t>GOOGLE tarda</t>
        </is>
      </c>
      <c r="B83" s="18" t="n"/>
      <c r="C83" s="18" t="n"/>
      <c r="D83" s="755" t="n"/>
      <c r="E83" s="24" t="n"/>
      <c r="F83" s="24" t="n"/>
      <c r="G83" s="69" t="n"/>
      <c r="H83" s="69" t="n"/>
      <c r="I83" s="69" t="n"/>
      <c r="J83" s="69" t="n"/>
      <c r="K83" s="69" t="n"/>
      <c r="L83" s="24" t="n"/>
      <c r="M83" s="24" t="n"/>
      <c r="N83" s="69" t="n"/>
      <c r="O83" s="69" t="n"/>
      <c r="P83" s="69" t="n"/>
      <c r="Q83" s="69" t="n"/>
      <c r="R83" s="26" t="n"/>
      <c r="S83" s="24" t="n"/>
      <c r="T83" s="24" t="n"/>
      <c r="U83" s="69" t="n"/>
      <c r="V83" s="69" t="n"/>
      <c r="W83" s="69" t="n"/>
      <c r="X83" s="69" t="n"/>
      <c r="Y83" s="69" t="n"/>
      <c r="Z83" s="24" t="n"/>
      <c r="AA83" s="24" t="n"/>
      <c r="AB83" s="756" t="n"/>
      <c r="AC83" s="756" t="n"/>
      <c r="AD83" s="756" t="n"/>
      <c r="AE83" s="756" t="n"/>
      <c r="AF83" s="756" t="n"/>
      <c r="AG83" s="24" t="n"/>
      <c r="AH83" s="24" t="n"/>
      <c r="AI83" s="4" t="n"/>
    </row>
    <row r="84" hidden="1" ht="15.75" customHeight="1" s="757">
      <c r="A84" s="10" t="inlineStr">
        <is>
          <t>FIREFOX tarda</t>
        </is>
      </c>
      <c r="B84" s="11" t="n"/>
      <c r="C84" s="11" t="n"/>
      <c r="D84" s="756" t="n"/>
      <c r="E84" s="24" t="n"/>
      <c r="F84" s="24" t="n"/>
      <c r="G84" s="69" t="n"/>
      <c r="H84" s="69" t="n"/>
      <c r="I84" s="69" t="n"/>
      <c r="J84" s="69" t="n"/>
      <c r="K84" s="69" t="n"/>
      <c r="L84" s="24" t="n"/>
      <c r="M84" s="24" t="n"/>
      <c r="N84" s="69" t="n"/>
      <c r="O84" s="69" t="n"/>
      <c r="P84" s="69" t="n"/>
      <c r="Q84" s="69" t="n"/>
      <c r="R84" s="26" t="n"/>
      <c r="S84" s="24" t="n"/>
      <c r="T84" s="24" t="n"/>
      <c r="U84" s="69" t="n"/>
      <c r="V84" s="69" t="n"/>
      <c r="W84" s="69" t="n"/>
      <c r="X84" s="69" t="n"/>
      <c r="Y84" s="69" t="n"/>
      <c r="Z84" s="24" t="n"/>
      <c r="AA84" s="24" t="n"/>
      <c r="AB84" s="756" t="n"/>
      <c r="AC84" s="756" t="n"/>
      <c r="AD84" s="756" t="n"/>
      <c r="AE84" s="756" t="n"/>
      <c r="AF84" s="756" t="n"/>
      <c r="AG84" s="24" t="n"/>
      <c r="AH84" s="24" t="n"/>
      <c r="AI84" s="4" t="n"/>
    </row>
    <row r="85" hidden="1" ht="16.5" customHeight="1" s="757" thickBot="1">
      <c r="A85" s="14" t="inlineStr">
        <is>
          <t>COPILOT tarda</t>
        </is>
      </c>
      <c r="B85" s="15" t="n"/>
      <c r="C85" s="15" t="n"/>
      <c r="D85" s="778" t="n"/>
      <c r="E85" s="35" t="n"/>
      <c r="F85" s="35" t="n"/>
      <c r="G85" s="224" t="n"/>
      <c r="H85" s="224" t="n"/>
      <c r="I85" s="224" t="n"/>
      <c r="J85" s="224" t="n"/>
      <c r="K85" s="224" t="n"/>
      <c r="L85" s="35" t="n"/>
      <c r="M85" s="35" t="n"/>
      <c r="N85" s="224" t="n"/>
      <c r="O85" s="224" t="n"/>
      <c r="P85" s="224" t="n"/>
      <c r="Q85" s="224" t="n"/>
      <c r="R85" s="27" t="n"/>
      <c r="S85" s="35" t="n"/>
      <c r="T85" s="35" t="n"/>
      <c r="U85" s="224" t="n"/>
      <c r="V85" s="224" t="n"/>
      <c r="W85" s="224" t="n"/>
      <c r="X85" s="224" t="n"/>
      <c r="Y85" s="224" t="n"/>
      <c r="Z85" s="35" t="n"/>
      <c r="AA85" s="35" t="n"/>
      <c r="AB85" s="778" t="n"/>
      <c r="AC85" s="778" t="n"/>
      <c r="AD85" s="778" t="n"/>
      <c r="AE85" s="778" t="n"/>
      <c r="AF85" s="778" t="n"/>
      <c r="AG85" s="35" t="n"/>
      <c r="AH85" s="35" t="n"/>
    </row>
    <row r="86" hidden="1" ht="15.75" customHeight="1" s="757">
      <c r="A86" s="10" t="inlineStr">
        <is>
          <t>TARRAGONA matí</t>
        </is>
      </c>
      <c r="B86" s="11" t="n"/>
      <c r="C86" s="11" t="n"/>
      <c r="D86" s="756" t="n"/>
      <c r="E86" s="39" t="n"/>
      <c r="F86" s="39" t="n"/>
      <c r="G86" s="135" t="n"/>
      <c r="H86" s="135" t="n"/>
      <c r="I86" s="135" t="n"/>
      <c r="J86" s="135" t="n"/>
      <c r="K86" s="135" t="n"/>
      <c r="L86" s="39" t="n"/>
      <c r="M86" s="39" t="n"/>
      <c r="N86" s="135" t="n"/>
      <c r="O86" s="135" t="n"/>
      <c r="P86" s="135" t="n"/>
      <c r="Q86" s="135" t="n"/>
      <c r="R86" s="28" t="n"/>
      <c r="S86" s="39" t="n"/>
      <c r="T86" s="39" t="n"/>
      <c r="U86" s="135" t="n"/>
      <c r="V86" s="135" t="n"/>
      <c r="W86" s="135" t="n"/>
      <c r="X86" s="135" t="n"/>
      <c r="Y86" s="135" t="n"/>
      <c r="Z86" s="39" t="n"/>
      <c r="AA86" s="39" t="n"/>
      <c r="AB86" s="755" t="n"/>
      <c r="AC86" s="755" t="n"/>
      <c r="AD86" s="755" t="n"/>
      <c r="AE86" s="755" t="n"/>
      <c r="AF86" s="755" t="n"/>
      <c r="AG86" s="39" t="n"/>
      <c r="AH86" s="39" t="n"/>
      <c r="AI86" s="524" t="n"/>
      <c r="AJ86" s="472" t="n"/>
    </row>
    <row r="87" hidden="1" ht="15" customHeight="1" s="757">
      <c r="A87" s="10" t="inlineStr">
        <is>
          <t>TARRAGONA tarde</t>
        </is>
      </c>
      <c r="B87" s="11" t="n"/>
      <c r="C87" s="11" t="n"/>
      <c r="D87" s="756" t="n"/>
      <c r="E87" s="24" t="n"/>
      <c r="F87" s="24" t="n"/>
      <c r="G87" s="69" t="n"/>
      <c r="H87" s="69" t="n"/>
      <c r="I87" s="69" t="n"/>
      <c r="J87" s="69" t="n"/>
      <c r="K87" s="69" t="n"/>
      <c r="L87" s="24" t="n"/>
      <c r="M87" s="24" t="n"/>
      <c r="N87" s="69" t="n"/>
      <c r="O87" s="69" t="n"/>
      <c r="P87" s="69" t="n"/>
      <c r="Q87" s="69" t="n"/>
      <c r="R87" s="26" t="n"/>
      <c r="S87" s="24" t="n"/>
      <c r="T87" s="24" t="n"/>
      <c r="U87" s="69" t="n"/>
      <c r="V87" s="69" t="n"/>
      <c r="W87" s="69" t="n"/>
      <c r="X87" s="69" t="n"/>
      <c r="Y87" s="69" t="n"/>
      <c r="Z87" s="24" t="n"/>
      <c r="AA87" s="24" t="n"/>
      <c r="AB87" s="756" t="n"/>
      <c r="AC87" s="756" t="n"/>
      <c r="AD87" s="756" t="n"/>
      <c r="AE87" s="756" t="n"/>
      <c r="AF87" s="756" t="n"/>
      <c r="AG87" s="24" t="n"/>
      <c r="AH87" s="24" t="n"/>
      <c r="AI87" s="4" t="n"/>
    </row>
    <row r="88" hidden="1" s="757">
      <c r="AI88" s="4" t="n"/>
    </row>
    <row r="89" hidden="1" ht="18.75" customHeight="1" s="757">
      <c r="A89" s="798" t="inlineStr">
        <is>
          <t>SETEMBRE 2025</t>
        </is>
      </c>
      <c r="B89" s="156" t="n"/>
      <c r="C89" s="156" t="n"/>
      <c r="D89" s="156" t="n"/>
      <c r="E89" s="156" t="n"/>
      <c r="F89" s="156" t="n"/>
      <c r="G89" s="156" t="n"/>
      <c r="H89" s="156" t="n"/>
      <c r="I89" s="156" t="n"/>
      <c r="J89" s="156" t="n"/>
      <c r="K89" s="156" t="n"/>
      <c r="L89" s="156" t="n"/>
      <c r="M89" s="156" t="n"/>
      <c r="N89" s="156" t="n"/>
      <c r="O89" s="156" t="n"/>
      <c r="P89" s="156" t="n"/>
      <c r="Q89" s="156" t="n"/>
      <c r="R89" s="156" t="n"/>
      <c r="S89" s="156" t="n"/>
      <c r="T89" s="156" t="n"/>
      <c r="U89" s="156" t="n"/>
      <c r="V89" s="156" t="n"/>
      <c r="W89" s="156" t="n"/>
      <c r="X89" s="156" t="n"/>
      <c r="Y89" s="156" t="n"/>
      <c r="Z89" s="156" t="n"/>
      <c r="AA89" s="156" t="n"/>
      <c r="AB89" s="156" t="n"/>
      <c r="AC89" s="156" t="n"/>
      <c r="AD89" s="156" t="n"/>
      <c r="AE89" s="156" t="n"/>
      <c r="AF89" s="156" t="n"/>
      <c r="AG89" s="156" t="n"/>
      <c r="AH89" s="142" t="n"/>
      <c r="AI89" s="4" t="n">
        <v>21</v>
      </c>
    </row>
    <row r="90" hidden="1" ht="56.25" customFormat="1" customHeight="1" s="505">
      <c r="A90" s="501" t="inlineStr">
        <is>
          <t>AULA</t>
        </is>
      </c>
      <c r="B90" s="502" t="inlineStr">
        <is>
          <t>INICI</t>
        </is>
      </c>
      <c r="C90" s="502" t="inlineStr">
        <is>
          <t>FINAL</t>
        </is>
      </c>
      <c r="D90" s="503" t="n">
        <v>45901</v>
      </c>
      <c r="E90" s="503" t="n">
        <v>45902</v>
      </c>
      <c r="F90" s="503" t="n">
        <v>45903</v>
      </c>
      <c r="G90" s="503" t="n">
        <v>45904</v>
      </c>
      <c r="H90" s="503" t="n">
        <v>45905</v>
      </c>
      <c r="I90" s="503" t="n">
        <v>45906</v>
      </c>
      <c r="J90" s="503" t="n">
        <v>45907</v>
      </c>
      <c r="K90" s="503" t="n">
        <v>45908</v>
      </c>
      <c r="L90" s="503" t="n">
        <v>45909</v>
      </c>
      <c r="M90" s="503" t="n">
        <v>45910</v>
      </c>
      <c r="N90" s="503" t="n">
        <v>45911</v>
      </c>
      <c r="O90" s="503" t="n">
        <v>45912</v>
      </c>
      <c r="P90" s="503" t="n">
        <v>45913</v>
      </c>
      <c r="Q90" s="503" t="n">
        <v>45914</v>
      </c>
      <c r="R90" s="503" t="n">
        <v>45915</v>
      </c>
      <c r="S90" s="503" t="n">
        <v>45916</v>
      </c>
      <c r="T90" s="503" t="n">
        <v>45917</v>
      </c>
      <c r="U90" s="503" t="n">
        <v>45918</v>
      </c>
      <c r="V90" s="503" t="n">
        <v>45919</v>
      </c>
      <c r="W90" s="503" t="n">
        <v>45920</v>
      </c>
      <c r="X90" s="503" t="n">
        <v>45921</v>
      </c>
      <c r="Y90" s="503" t="n">
        <v>45922</v>
      </c>
      <c r="Z90" s="503" t="n">
        <v>45923</v>
      </c>
      <c r="AA90" s="503" t="n">
        <v>45924</v>
      </c>
      <c r="AB90" s="503" t="n">
        <v>45925</v>
      </c>
      <c r="AC90" s="503" t="n">
        <v>45926</v>
      </c>
      <c r="AD90" s="503" t="n">
        <v>45927</v>
      </c>
      <c r="AE90" s="503" t="n">
        <v>45928</v>
      </c>
      <c r="AF90" s="503" t="n">
        <v>45929</v>
      </c>
      <c r="AG90" s="503" t="n">
        <v>45930</v>
      </c>
      <c r="AH90" s="503" t="n"/>
      <c r="AI90" s="504" t="n"/>
    </row>
    <row r="91" hidden="1" ht="15.75" customHeight="1" s="757">
      <c r="A91" s="10" t="inlineStr">
        <is>
          <t>GOOGLE MATINS</t>
        </is>
      </c>
      <c r="B91" s="11" t="n"/>
      <c r="C91" s="11" t="n"/>
      <c r="D91" s="32" t="n"/>
      <c r="E91" s="32" t="n"/>
      <c r="F91" s="32" t="n"/>
      <c r="G91" s="32" t="n"/>
      <c r="H91" s="32" t="n"/>
      <c r="I91" s="24" t="n"/>
      <c r="J91" s="24" t="n"/>
      <c r="K91" s="32" t="n"/>
      <c r="L91" s="32" t="n"/>
      <c r="M91" s="32" t="n"/>
      <c r="N91" s="26" t="n"/>
      <c r="O91" s="32" t="n"/>
      <c r="P91" s="24" t="n"/>
      <c r="Q91" s="24" t="n"/>
      <c r="R91" s="32" t="n"/>
      <c r="S91" s="32" t="n"/>
      <c r="T91" s="32" t="n"/>
      <c r="U91" s="32" t="n"/>
      <c r="V91" s="32" t="n"/>
      <c r="W91" s="24" t="n"/>
      <c r="X91" s="24" t="n"/>
      <c r="Y91" s="32" t="n"/>
      <c r="Z91" s="32" t="n"/>
      <c r="AA91" s="32" t="n"/>
      <c r="AB91" s="32" t="n"/>
      <c r="AC91" s="32" t="n"/>
      <c r="AD91" s="24" t="n"/>
      <c r="AE91" s="24" t="n"/>
      <c r="AF91" s="32" t="n"/>
      <c r="AG91" s="32" t="n"/>
      <c r="AH91" s="756" t="n"/>
      <c r="AI91" s="4" t="n"/>
    </row>
    <row r="92" hidden="1" ht="16.5" customHeight="1" s="757" thickBot="1">
      <c r="A92" s="10" t="inlineStr">
        <is>
          <t>FIREFOX matí</t>
        </is>
      </c>
      <c r="B92" s="456" t="n"/>
      <c r="C92" s="456" t="n"/>
      <c r="D92" s="556" t="inlineStr">
        <is>
          <t>MF0790_3</t>
        </is>
      </c>
      <c r="E92" s="31" t="n"/>
      <c r="F92" s="31" t="n"/>
      <c r="G92" s="31" t="n"/>
      <c r="H92" s="31" t="n"/>
      <c r="I92" s="24" t="n"/>
      <c r="J92" s="24" t="n"/>
      <c r="K92" s="31" t="n"/>
      <c r="L92" s="31" t="n"/>
      <c r="M92" s="31" t="n"/>
      <c r="N92" s="26" t="n"/>
      <c r="O92" s="31" t="n"/>
      <c r="P92" s="24" t="n"/>
      <c r="Q92" s="24" t="n"/>
      <c r="R92" s="31" t="n"/>
      <c r="S92" s="527" t="n"/>
      <c r="T92" s="31" t="n"/>
      <c r="U92" s="31" t="n"/>
      <c r="V92" s="31" t="n"/>
      <c r="W92" s="24" t="n"/>
      <c r="X92" s="24" t="n"/>
      <c r="Y92" s="478" t="n"/>
      <c r="Z92" s="573" t="inlineStr">
        <is>
          <t>MF0791_3</t>
        </is>
      </c>
      <c r="AA92" s="31" t="n"/>
      <c r="AB92" s="31" t="n"/>
      <c r="AC92" s="31" t="n"/>
      <c r="AD92" s="24" t="n"/>
      <c r="AE92" s="24" t="n"/>
      <c r="AF92" s="31" t="n"/>
      <c r="AG92" s="31" t="n"/>
      <c r="AH92" s="756" t="n"/>
      <c r="AI92" s="4" t="n"/>
      <c r="AJ92" s="774">
        <f>AJ81+AI89</f>
        <v/>
      </c>
      <c r="AK92" s="568" t="inlineStr">
        <is>
          <t>IMPE0110 6H/D   9 a 15h</t>
        </is>
      </c>
      <c r="AL92" s="480" t="n"/>
      <c r="AM92" s="480" t="n"/>
      <c r="AN92" s="570" t="n"/>
    </row>
    <row r="93" hidden="1" ht="16.5" customHeight="1" s="757" thickBot="1">
      <c r="A93" s="14" t="inlineStr">
        <is>
          <t>COPILOT matí</t>
        </is>
      </c>
      <c r="B93" s="15" t="n"/>
      <c r="C93" s="15" t="n"/>
      <c r="D93" s="778" t="n"/>
      <c r="E93" s="778" t="n"/>
      <c r="F93" s="778" t="n"/>
      <c r="G93" s="778" t="n"/>
      <c r="H93" s="778" t="n"/>
      <c r="I93" s="35" t="n"/>
      <c r="J93" s="35" t="n"/>
      <c r="K93" s="778" t="n"/>
      <c r="L93" s="778" t="n"/>
      <c r="M93" s="778" t="n"/>
      <c r="N93" s="27" t="n"/>
      <c r="O93" s="778" t="n"/>
      <c r="P93" s="35" t="n"/>
      <c r="Q93" s="35" t="n"/>
      <c r="R93" s="464" t="n"/>
      <c r="S93" s="464" t="n"/>
      <c r="T93" s="574" t="n"/>
      <c r="U93" s="464" t="n"/>
      <c r="V93" s="464" t="n"/>
      <c r="W93" s="35" t="n"/>
      <c r="X93" s="35" t="n"/>
      <c r="Y93" s="464" t="n"/>
      <c r="Z93" s="464" t="n"/>
      <c r="AA93" s="464" t="n"/>
      <c r="AB93" s="464" t="n"/>
      <c r="AC93" s="464" t="n"/>
      <c r="AD93" s="35" t="n"/>
      <c r="AE93" s="35" t="n"/>
      <c r="AF93" s="464" t="n"/>
      <c r="AG93" s="464" t="n"/>
      <c r="AH93" s="778" t="n"/>
      <c r="AI93" s="4" t="n"/>
      <c r="AK93" s="572" t="n"/>
      <c r="AL93" s="774" t="n"/>
    </row>
    <row r="94" hidden="1" ht="15.75" customHeight="1" s="757">
      <c r="A94" s="17" t="inlineStr">
        <is>
          <t>GOOGLE tarda</t>
        </is>
      </c>
      <c r="B94" s="18" t="n"/>
      <c r="C94" s="18" t="n"/>
      <c r="D94" s="755" t="n"/>
      <c r="E94" s="756" t="n"/>
      <c r="F94" s="756" t="n"/>
      <c r="G94" s="756" t="n"/>
      <c r="H94" s="756" t="n"/>
      <c r="I94" s="24" t="n"/>
      <c r="J94" s="24" t="n"/>
      <c r="K94" s="756" t="n"/>
      <c r="L94" s="756" t="n"/>
      <c r="M94" s="756" t="n"/>
      <c r="N94" s="26" t="n"/>
      <c r="O94" s="756" t="n"/>
      <c r="P94" s="24" t="n"/>
      <c r="Q94" s="24" t="n"/>
      <c r="R94" s="756" t="n"/>
      <c r="S94" s="756" t="n"/>
      <c r="T94" s="756" t="n"/>
      <c r="U94" s="756" t="n"/>
      <c r="V94" s="756" t="n"/>
      <c r="W94" s="24" t="n"/>
      <c r="X94" s="24" t="n"/>
      <c r="Y94" s="756" t="n"/>
      <c r="Z94" s="756" t="n"/>
      <c r="AA94" s="756" t="n"/>
      <c r="AB94" s="756" t="n"/>
      <c r="AC94" s="756" t="n"/>
      <c r="AD94" s="24" t="n"/>
      <c r="AE94" s="24" t="n"/>
      <c r="AF94" s="756" t="n"/>
      <c r="AG94" s="756" t="n"/>
      <c r="AH94" s="756" t="n"/>
      <c r="AI94" s="4" t="n"/>
    </row>
    <row r="95" hidden="1" ht="15.75" customHeight="1" s="757">
      <c r="A95" s="10" t="inlineStr">
        <is>
          <t>FIREFOX tarda</t>
        </is>
      </c>
      <c r="B95" s="11" t="n"/>
      <c r="C95" s="11" t="n"/>
      <c r="D95" s="756" t="n"/>
      <c r="E95" s="756" t="n"/>
      <c r="F95" s="756" t="n"/>
      <c r="G95" s="756" t="n"/>
      <c r="H95" s="756" t="n"/>
      <c r="I95" s="24" t="n"/>
      <c r="J95" s="24" t="n"/>
      <c r="K95" s="756" t="n"/>
      <c r="L95" s="756" t="n"/>
      <c r="M95" s="756" t="n"/>
      <c r="N95" s="26" t="n"/>
      <c r="O95" s="756" t="n"/>
      <c r="P95" s="24" t="n"/>
      <c r="Q95" s="24" t="n"/>
      <c r="R95" s="756" t="n"/>
      <c r="S95" s="756" t="n"/>
      <c r="T95" s="756" t="n"/>
      <c r="U95" s="756" t="n"/>
      <c r="V95" s="756" t="n"/>
      <c r="W95" s="24" t="n"/>
      <c r="X95" s="24" t="n"/>
      <c r="Y95" s="756" t="n"/>
      <c r="Z95" s="756" t="n"/>
      <c r="AA95" s="756" t="n"/>
      <c r="AB95" s="756" t="n"/>
      <c r="AC95" s="756" t="n"/>
      <c r="AD95" s="24" t="n"/>
      <c r="AE95" s="24" t="n"/>
      <c r="AF95" s="756" t="n"/>
      <c r="AG95" s="756" t="n"/>
      <c r="AH95" s="756" t="n"/>
      <c r="AI95" s="4" t="n"/>
    </row>
    <row r="96" hidden="1" ht="16.5" customHeight="1" s="757" thickBot="1">
      <c r="A96" s="14" t="inlineStr">
        <is>
          <t>COPILOT tarda</t>
        </is>
      </c>
      <c r="B96" s="15" t="n"/>
      <c r="C96" s="15" t="n"/>
      <c r="D96" s="778" t="n"/>
      <c r="E96" s="778" t="n"/>
      <c r="F96" s="778" t="n"/>
      <c r="G96" s="778" t="n"/>
      <c r="H96" s="778" t="n"/>
      <c r="I96" s="35" t="n"/>
      <c r="J96" s="35" t="n"/>
      <c r="K96" s="778" t="n"/>
      <c r="L96" s="778" t="n"/>
      <c r="M96" s="778" t="n"/>
      <c r="N96" s="27" t="n"/>
      <c r="O96" s="778" t="n"/>
      <c r="P96" s="35" t="n"/>
      <c r="Q96" s="35" t="n"/>
      <c r="R96" s="778" t="n"/>
      <c r="S96" s="778" t="n"/>
      <c r="T96" s="778" t="n"/>
      <c r="U96" s="778" t="n"/>
      <c r="V96" s="778" t="n"/>
      <c r="W96" s="35" t="n"/>
      <c r="X96" s="35" t="n"/>
      <c r="Y96" s="778" t="n"/>
      <c r="Z96" s="778" t="n"/>
      <c r="AA96" s="778" t="n"/>
      <c r="AB96" s="778" t="n"/>
      <c r="AC96" s="778" t="n"/>
      <c r="AD96" s="35" t="n"/>
      <c r="AE96" s="35" t="n"/>
      <c r="AF96" s="778" t="n"/>
      <c r="AG96" s="778" t="n"/>
      <c r="AH96" s="778" t="n"/>
    </row>
    <row r="97" hidden="1" ht="15.75" customHeight="1" s="757">
      <c r="A97" s="10" t="inlineStr">
        <is>
          <t>TARRAGONA matí</t>
        </is>
      </c>
      <c r="B97" s="11" t="n"/>
      <c r="C97" s="11" t="n"/>
      <c r="D97" s="756" t="n"/>
      <c r="E97" s="755" t="n"/>
      <c r="F97" s="755" t="n"/>
      <c r="G97" s="755" t="n"/>
      <c r="H97" s="755" t="n"/>
      <c r="I97" s="39" t="n"/>
      <c r="J97" s="39" t="n"/>
      <c r="K97" s="755" t="n"/>
      <c r="L97" s="755" t="n"/>
      <c r="M97" s="755" t="n"/>
      <c r="N97" s="28" t="n"/>
      <c r="O97" s="755" t="n"/>
      <c r="P97" s="39" t="n"/>
      <c r="Q97" s="39" t="n"/>
      <c r="R97" s="755" t="n"/>
      <c r="S97" s="476" t="n"/>
      <c r="T97" s="476" t="n"/>
      <c r="U97" s="476" t="n"/>
      <c r="V97" s="476" t="n"/>
      <c r="W97" s="39" t="n"/>
      <c r="X97" s="39" t="n"/>
      <c r="Y97" s="476" t="n"/>
      <c r="Z97" s="28" t="n"/>
      <c r="AA97" s="476" t="n"/>
      <c r="AB97" s="575" t="inlineStr">
        <is>
          <t>P</t>
        </is>
      </c>
      <c r="AC97" s="476" t="n"/>
      <c r="AD97" s="39" t="n"/>
      <c r="AE97" s="39" t="n"/>
      <c r="AF97" s="575" t="inlineStr">
        <is>
          <t>T</t>
        </is>
      </c>
      <c r="AG97" s="576" t="inlineStr">
        <is>
          <t>ICIQ</t>
        </is>
      </c>
      <c r="AH97" s="755" t="n"/>
      <c r="AK97" s="54" t="inlineStr">
        <is>
          <t>Taller IA copilot</t>
        </is>
      </c>
      <c r="AL97" s="54" t="n"/>
      <c r="AM97" s="498" t="inlineStr">
        <is>
          <t>ICIQ TARRAGONA</t>
        </is>
      </c>
      <c r="AN97" s="497" t="n"/>
      <c r="AO97" s="497" t="n"/>
      <c r="AP97" s="497" t="n"/>
    </row>
    <row r="98" hidden="1" ht="15.75" customHeight="1" s="757">
      <c r="A98" s="10" t="inlineStr">
        <is>
          <t>TARRAGONA tarde</t>
        </is>
      </c>
      <c r="B98" s="11" t="n"/>
      <c r="C98" s="11" t="n"/>
      <c r="D98" s="756" t="n"/>
      <c r="E98" s="756" t="n"/>
      <c r="F98" s="756" t="n"/>
      <c r="G98" s="756" t="n"/>
      <c r="H98" s="756" t="n"/>
      <c r="I98" s="24" t="n"/>
      <c r="J98" s="24" t="n"/>
      <c r="K98" s="756" t="n"/>
      <c r="L98" s="756" t="n"/>
      <c r="M98" s="756" t="n"/>
      <c r="N98" s="26" t="n"/>
      <c r="O98" s="756" t="n"/>
      <c r="P98" s="24" t="n"/>
      <c r="Q98" s="24" t="n"/>
      <c r="R98" s="756" t="n"/>
      <c r="S98" s="756" t="n"/>
      <c r="T98" s="756" t="n"/>
      <c r="U98" s="756" t="n"/>
      <c r="V98" s="756" t="n"/>
      <c r="W98" s="24" t="n"/>
      <c r="X98" s="24" t="n"/>
      <c r="Y98" s="756" t="n"/>
      <c r="Z98" s="26" t="n"/>
      <c r="AA98" s="756" t="n"/>
      <c r="AB98" s="756" t="n"/>
      <c r="AC98" s="756" t="n"/>
      <c r="AD98" s="24" t="n"/>
      <c r="AE98" s="24" t="n"/>
      <c r="AF98" s="32" t="n"/>
      <c r="AG98" s="32" t="n"/>
      <c r="AH98" s="756" t="n"/>
      <c r="AI98" s="524" t="n"/>
      <c r="AJ98" s="472" t="n"/>
    </row>
    <row r="99" hidden="1" ht="16.5" customHeight="1" s="757">
      <c r="A99" s="10" t="inlineStr">
        <is>
          <t>ON LINE</t>
        </is>
      </c>
      <c r="B99" s="11" t="n"/>
      <c r="C99" s="11" t="n"/>
      <c r="D99" s="12" t="n"/>
      <c r="E99" s="12" t="n"/>
      <c r="F99" s="756" t="n"/>
      <c r="G99" s="756" t="n"/>
      <c r="H99" s="756" t="n"/>
      <c r="I99" s="24" t="n"/>
      <c r="J99" s="24" t="n"/>
      <c r="K99" s="530" t="n"/>
      <c r="L99" s="756" t="n"/>
      <c r="M99" s="756" t="n"/>
      <c r="N99" s="756" t="n"/>
      <c r="O99" s="756" t="n"/>
      <c r="P99" s="24" t="n"/>
      <c r="Q99" s="24" t="n"/>
      <c r="R99" s="756" t="n"/>
      <c r="S99" s="756" t="n"/>
      <c r="T99" s="756" t="n"/>
      <c r="U99" s="756" t="n"/>
      <c r="V99" s="756" t="n"/>
      <c r="W99" s="24" t="n"/>
      <c r="X99" s="24" t="n"/>
      <c r="Y99" s="756" t="n"/>
      <c r="Z99" s="756" t="n"/>
      <c r="AA99" s="756" t="n"/>
      <c r="AB99" s="756" t="n"/>
      <c r="AC99" s="756" t="n"/>
      <c r="AD99" s="24" t="n"/>
      <c r="AE99" s="24" t="n"/>
      <c r="AF99" s="29" t="n">
        <v>3</v>
      </c>
      <c r="AG99" s="756" t="n"/>
      <c r="AH99" s="756" t="n"/>
      <c r="AI99" s="4" t="n"/>
      <c r="AK99" s="525" t="inlineStr">
        <is>
          <t>IA Conceptes clau 3ª ed 09:30-13:30- Habitatge</t>
        </is>
      </c>
      <c r="AL99" s="52" t="n"/>
      <c r="AM99" s="52" t="n"/>
      <c r="AN99" s="52" t="n"/>
      <c r="AO99" s="52" t="n"/>
    </row>
    <row r="100" hidden="1" s="757">
      <c r="AI100" s="4" t="n"/>
      <c r="AJ100" s="774" t="n"/>
      <c r="AK100" s="572" t="n"/>
      <c r="AL100" s="774" t="n"/>
      <c r="AM100" s="774" t="n"/>
    </row>
    <row r="101" hidden="1" ht="18.75" customHeight="1" s="757">
      <c r="A101" s="798" t="inlineStr">
        <is>
          <t>OCTUBRE 2025</t>
        </is>
      </c>
      <c r="B101" s="156" t="n"/>
      <c r="C101" s="156" t="n"/>
      <c r="D101" s="156" t="n"/>
      <c r="E101" s="156" t="n"/>
      <c r="F101" s="156" t="n"/>
      <c r="G101" s="156" t="n"/>
      <c r="H101" s="156" t="n"/>
      <c r="I101" s="156" t="n"/>
      <c r="J101" s="156" t="n"/>
      <c r="K101" s="156" t="n"/>
      <c r="L101" s="156" t="n"/>
      <c r="M101" s="156" t="n"/>
      <c r="N101" s="156" t="n"/>
      <c r="O101" s="156" t="n"/>
      <c r="P101" s="156" t="n"/>
      <c r="Q101" s="156" t="n"/>
      <c r="R101" s="156" t="n"/>
      <c r="S101" s="156" t="n"/>
      <c r="T101" s="156" t="n"/>
      <c r="U101" s="156" t="n"/>
      <c r="V101" s="156" t="n"/>
      <c r="W101" s="156" t="n"/>
      <c r="X101" s="156" t="n"/>
      <c r="Y101" s="156" t="n"/>
      <c r="Z101" s="156" t="n"/>
      <c r="AA101" s="156" t="n"/>
      <c r="AB101" s="156" t="n"/>
      <c r="AC101" s="156" t="n"/>
      <c r="AD101" s="156" t="n"/>
      <c r="AE101" s="156" t="n"/>
      <c r="AF101" s="156" t="n"/>
      <c r="AG101" s="156" t="n"/>
      <c r="AH101" s="142" t="n"/>
      <c r="AI101" s="4" t="n">
        <v>23</v>
      </c>
      <c r="AJ101" s="477" t="n"/>
    </row>
    <row r="102" hidden="1" ht="77.25" customFormat="1" customHeight="1" s="505">
      <c r="A102" s="501" t="inlineStr">
        <is>
          <t>AULA</t>
        </is>
      </c>
      <c r="B102" s="502" t="inlineStr">
        <is>
          <t>INICI</t>
        </is>
      </c>
      <c r="C102" s="502" t="inlineStr">
        <is>
          <t>FINAL</t>
        </is>
      </c>
      <c r="D102" s="503" t="n">
        <v>45931</v>
      </c>
      <c r="E102" s="503" t="n">
        <v>45932</v>
      </c>
      <c r="F102" s="503" t="n">
        <v>45933</v>
      </c>
      <c r="G102" s="503" t="n">
        <v>45934</v>
      </c>
      <c r="H102" s="503" t="n">
        <v>45935</v>
      </c>
      <c r="I102" s="503" t="n">
        <v>45936</v>
      </c>
      <c r="J102" s="503" t="n">
        <v>45937</v>
      </c>
      <c r="K102" s="503" t="n">
        <v>45938</v>
      </c>
      <c r="L102" s="503" t="n">
        <v>45939</v>
      </c>
      <c r="M102" s="503" t="n">
        <v>45940</v>
      </c>
      <c r="N102" s="503" t="n">
        <v>45941</v>
      </c>
      <c r="O102" s="503" t="n">
        <v>45942</v>
      </c>
      <c r="P102" s="503" t="n">
        <v>45943</v>
      </c>
      <c r="Q102" s="503" t="n">
        <v>45944</v>
      </c>
      <c r="R102" s="503" t="n">
        <v>45945</v>
      </c>
      <c r="S102" s="503" t="n">
        <v>45946</v>
      </c>
      <c r="T102" s="503" t="n">
        <v>45947</v>
      </c>
      <c r="U102" s="503" t="n">
        <v>45948</v>
      </c>
      <c r="V102" s="503" t="n">
        <v>45949</v>
      </c>
      <c r="W102" s="503" t="n">
        <v>45950</v>
      </c>
      <c r="X102" s="503" t="n">
        <v>45951</v>
      </c>
      <c r="Y102" s="503" t="n">
        <v>45952</v>
      </c>
      <c r="Z102" s="503" t="n">
        <v>45953</v>
      </c>
      <c r="AA102" s="503" t="n">
        <v>45954</v>
      </c>
      <c r="AB102" s="503" t="n">
        <v>45955</v>
      </c>
      <c r="AC102" s="503" t="n">
        <v>45956</v>
      </c>
      <c r="AD102" s="503" t="n">
        <v>45957</v>
      </c>
      <c r="AE102" s="503" t="n">
        <v>45958</v>
      </c>
      <c r="AF102" s="503" t="n">
        <v>45959</v>
      </c>
      <c r="AG102" s="503" t="n">
        <v>45960</v>
      </c>
      <c r="AH102" s="503" t="n">
        <v>45961</v>
      </c>
      <c r="AI102" s="504" t="n"/>
    </row>
    <row r="103" hidden="1" ht="15.75" customHeight="1" s="757">
      <c r="A103" s="10" t="inlineStr">
        <is>
          <t>GOOGLE MATINS</t>
        </is>
      </c>
      <c r="B103" s="11" t="n"/>
      <c r="C103" s="11" t="n"/>
      <c r="D103" s="577" t="n"/>
      <c r="E103" s="577" t="n"/>
      <c r="F103" s="577" t="n"/>
      <c r="G103" s="554" t="n"/>
      <c r="H103" s="554" t="n"/>
      <c r="I103" s="577" t="n"/>
      <c r="J103" s="577" t="n"/>
      <c r="K103" s="577" t="n"/>
      <c r="L103" s="577" t="n"/>
      <c r="M103" s="577" t="n"/>
      <c r="N103" s="554" t="n"/>
      <c r="O103" s="554" t="n"/>
      <c r="P103" s="530" t="n"/>
      <c r="Q103" s="530" t="n"/>
      <c r="R103" s="530" t="n"/>
      <c r="S103" s="530" t="n"/>
      <c r="T103" s="530" t="n"/>
      <c r="U103" s="554" t="n"/>
      <c r="V103" s="554" t="n"/>
      <c r="W103" s="530" t="n"/>
      <c r="X103" s="530" t="n"/>
      <c r="Y103" s="530" t="n"/>
      <c r="Z103" s="530" t="n"/>
      <c r="AA103" s="530" t="n"/>
      <c r="AB103" s="554" t="n"/>
      <c r="AC103" s="554" t="n"/>
      <c r="AD103" s="530" t="n"/>
      <c r="AE103" s="530" t="n"/>
      <c r="AF103" s="530" t="n"/>
      <c r="AG103" s="530" t="n"/>
      <c r="AH103" s="530" t="n"/>
      <c r="AI103" s="4" t="n"/>
    </row>
    <row r="104" hidden="1" ht="16.5" customHeight="1" s="757" thickBot="1">
      <c r="A104" s="10" t="inlineStr">
        <is>
          <t>FIREFOX matí</t>
        </is>
      </c>
      <c r="B104" s="456" t="n"/>
      <c r="C104" s="456" t="n"/>
      <c r="D104" s="556" t="n"/>
      <c r="E104" s="527" t="n"/>
      <c r="F104" s="527" t="n"/>
      <c r="G104" s="554" t="n"/>
      <c r="H104" s="554" t="n"/>
      <c r="I104" s="488" t="inlineStr">
        <is>
          <t>PRAC IMPE</t>
        </is>
      </c>
      <c r="J104" s="527" t="n"/>
      <c r="K104" s="527" t="n"/>
      <c r="L104" s="527" t="n"/>
      <c r="M104" s="527" t="n"/>
      <c r="N104" s="554" t="n"/>
      <c r="O104" s="554" t="n"/>
      <c r="P104" s="578" t="n"/>
      <c r="Q104" s="569" t="inlineStr">
        <is>
          <t>MF0792_3</t>
        </is>
      </c>
      <c r="R104" s="527" t="n"/>
      <c r="S104" s="527" t="n"/>
      <c r="T104" s="527" t="n"/>
      <c r="U104" s="554" t="n"/>
      <c r="V104" s="554" t="n"/>
      <c r="W104" s="527" t="n"/>
      <c r="X104" s="527" t="n"/>
      <c r="Y104" s="527" t="n"/>
      <c r="Z104" s="527" t="n"/>
      <c r="AA104" s="527" t="n"/>
      <c r="AB104" s="554" t="n"/>
      <c r="AC104" s="554" t="n"/>
      <c r="AD104" s="579" t="n"/>
      <c r="AE104" s="580" t="inlineStr">
        <is>
          <t>PRL</t>
        </is>
      </c>
      <c r="AF104" s="581" t="n"/>
      <c r="AG104" s="582" t="n"/>
      <c r="AH104" s="580" t="n"/>
      <c r="AI104" s="4" t="n"/>
      <c r="AJ104">
        <f>AJ92+AI101</f>
        <v/>
      </c>
      <c r="AK104" s="568" t="inlineStr">
        <is>
          <t>IMPE0110 6H/D   9 a 15h</t>
        </is>
      </c>
      <c r="AL104" s="480" t="n"/>
      <c r="AM104" s="480" t="n"/>
      <c r="AN104" s="570" t="n"/>
      <c r="AO104" s="487" t="inlineStr">
        <is>
          <t>PRL H/D 9H A 15:00H</t>
        </is>
      </c>
      <c r="AP104" s="487" t="n"/>
      <c r="AQ104" s="487" t="n"/>
      <c r="AR104" s="487" t="n"/>
      <c r="AS104" s="775" t="inlineStr">
        <is>
          <t>complementaria IMPE</t>
        </is>
      </c>
    </row>
    <row r="105" hidden="1" ht="16.5" customHeight="1" s="757" thickBot="1">
      <c r="A105" s="14" t="inlineStr">
        <is>
          <t>COPILOT matí</t>
        </is>
      </c>
      <c r="B105" s="15" t="n"/>
      <c r="C105" s="15" t="n"/>
      <c r="D105" s="574" t="n"/>
      <c r="E105" s="574" t="n"/>
      <c r="F105" s="574" t="n"/>
      <c r="G105" s="583" t="n"/>
      <c r="H105" s="583" t="n"/>
      <c r="I105" s="574" t="n"/>
      <c r="J105" s="574" t="n"/>
      <c r="K105" s="574" t="n"/>
      <c r="L105" s="574" t="n"/>
      <c r="M105" s="574" t="n"/>
      <c r="N105" s="583" t="n"/>
      <c r="O105" s="583" t="n"/>
      <c r="P105" s="574" t="n"/>
      <c r="Q105" s="574" t="n"/>
      <c r="R105" s="574" t="n"/>
      <c r="S105" s="574" t="n"/>
      <c r="T105" s="574" t="n"/>
      <c r="U105" s="583" t="n"/>
      <c r="V105" s="583" t="n"/>
      <c r="W105" s="584" t="inlineStr">
        <is>
          <t>COMT016 TECNIQUES..</t>
        </is>
      </c>
      <c r="X105" s="584" t="n"/>
      <c r="Y105" s="584" t="n"/>
      <c r="Z105" s="584" t="n"/>
      <c r="AA105" s="584" t="n"/>
      <c r="AB105" s="583" t="n"/>
      <c r="AC105" s="583" t="n"/>
      <c r="AD105" s="584" t="n"/>
      <c r="AE105" s="584" t="n"/>
      <c r="AF105" s="585" t="n"/>
      <c r="AG105" s="585" t="n"/>
      <c r="AH105" s="585" t="n"/>
      <c r="AI105" s="4" t="n"/>
      <c r="AK105" s="586" t="inlineStr">
        <is>
          <t>COMT0016</t>
        </is>
      </c>
      <c r="AL105" s="254" t="n"/>
      <c r="AM105" s="510" t="inlineStr">
        <is>
          <t>COML0015</t>
        </is>
      </c>
      <c r="AN105" s="510" t="n"/>
    </row>
    <row r="106" hidden="1" ht="15.75" customHeight="1" s="757">
      <c r="A106" s="17" t="inlineStr">
        <is>
          <t>GOOGLE tarda</t>
        </is>
      </c>
      <c r="B106" s="18" t="n"/>
      <c r="C106" s="18" t="n"/>
      <c r="D106" s="544" t="n"/>
      <c r="E106" s="530" t="n"/>
      <c r="F106" s="530" t="n"/>
      <c r="G106" s="554" t="n"/>
      <c r="H106" s="554" t="n"/>
      <c r="I106" s="530" t="n"/>
      <c r="J106" s="530" t="n"/>
      <c r="K106" s="530" t="n"/>
      <c r="L106" s="530" t="n"/>
      <c r="M106" s="530" t="n"/>
      <c r="N106" s="554" t="n"/>
      <c r="O106" s="554" t="n"/>
      <c r="P106" s="530" t="n"/>
      <c r="Q106" s="530" t="n"/>
      <c r="R106" s="530" t="n"/>
      <c r="S106" s="530" t="n"/>
      <c r="T106" s="530" t="n"/>
      <c r="U106" s="554" t="n"/>
      <c r="V106" s="554" t="n"/>
      <c r="W106" s="530" t="n"/>
      <c r="X106" s="530" t="n"/>
      <c r="Y106" s="530" t="n"/>
      <c r="Z106" s="530" t="n"/>
      <c r="AA106" s="530" t="n"/>
      <c r="AB106" s="554" t="n"/>
      <c r="AC106" s="554" t="n"/>
      <c r="AD106" s="530" t="n"/>
      <c r="AE106" s="530" t="n"/>
      <c r="AF106" s="530" t="n"/>
      <c r="AG106" s="530" t="n"/>
      <c r="AH106" s="530" t="n"/>
      <c r="AI106" s="4" t="n"/>
    </row>
    <row r="107" hidden="1" ht="15.75" customHeight="1" s="757">
      <c r="A107" s="10" t="inlineStr">
        <is>
          <t>FIREFOX tarda</t>
        </is>
      </c>
      <c r="B107" s="11" t="n"/>
      <c r="C107" s="11" t="n"/>
      <c r="D107" s="530" t="n"/>
      <c r="E107" s="530" t="n"/>
      <c r="F107" s="530" t="n"/>
      <c r="G107" s="554" t="n"/>
      <c r="H107" s="554" t="n"/>
      <c r="I107" s="530" t="n"/>
      <c r="J107" s="530" t="n"/>
      <c r="K107" s="530" t="n"/>
      <c r="L107" s="530" t="n"/>
      <c r="M107" s="530" t="n"/>
      <c r="N107" s="554" t="n"/>
      <c r="O107" s="554" t="n"/>
      <c r="P107" s="577" t="n"/>
      <c r="Q107" s="577" t="n"/>
      <c r="R107" s="577" t="n"/>
      <c r="S107" s="577" t="n"/>
      <c r="T107" s="530" t="n"/>
      <c r="U107" s="554" t="n"/>
      <c r="V107" s="554" t="n"/>
      <c r="W107" s="530" t="n"/>
      <c r="X107" s="530" t="n"/>
      <c r="Y107" s="530" t="n"/>
      <c r="Z107" s="530" t="n"/>
      <c r="AA107" s="530" t="n"/>
      <c r="AB107" s="554" t="n"/>
      <c r="AC107" s="554" t="n"/>
      <c r="AD107" s="530" t="n"/>
      <c r="AE107" s="530" t="n"/>
      <c r="AF107" s="530" t="n"/>
      <c r="AG107" s="530" t="n"/>
      <c r="AH107" s="530" t="n"/>
      <c r="AI107" s="4" t="n"/>
    </row>
    <row r="108" hidden="1" ht="16.5" customHeight="1" s="757" thickBot="1">
      <c r="A108" s="14" t="inlineStr">
        <is>
          <t>COPILOT tarda</t>
        </is>
      </c>
      <c r="B108" s="15" t="n"/>
      <c r="C108" s="15" t="n"/>
      <c r="D108" s="783" t="n"/>
      <c r="E108" s="783" t="n"/>
      <c r="F108" s="783" t="n"/>
      <c r="G108" s="583" t="n"/>
      <c r="H108" s="583" t="n"/>
      <c r="I108" s="783" t="n"/>
      <c r="J108" s="783" t="n"/>
      <c r="K108" s="783" t="n"/>
      <c r="L108" s="783" t="n"/>
      <c r="M108" s="783" t="n"/>
      <c r="N108" s="583" t="n"/>
      <c r="O108" s="583" t="n"/>
      <c r="P108" s="783" t="n"/>
      <c r="Q108" s="783" t="n"/>
      <c r="R108" s="783" t="n"/>
      <c r="S108" s="783" t="n"/>
      <c r="T108" s="783" t="n"/>
      <c r="U108" s="583" t="n"/>
      <c r="V108" s="583" t="n"/>
      <c r="W108" s="783" t="n"/>
      <c r="X108" s="783" t="n"/>
      <c r="Y108" s="783" t="n"/>
      <c r="Z108" s="783" t="n"/>
      <c r="AA108" s="783" t="n"/>
      <c r="AB108" s="583" t="n"/>
      <c r="AC108" s="583" t="n"/>
      <c r="AD108" s="783" t="n"/>
      <c r="AE108" s="783" t="n"/>
      <c r="AF108" s="511" t="n"/>
      <c r="AG108" s="783" t="n"/>
      <c r="AH108" s="783" t="n"/>
      <c r="AK108" s="775" t="n"/>
    </row>
    <row r="109" hidden="1" ht="15.75" customHeight="1" s="757">
      <c r="A109" s="10" t="inlineStr">
        <is>
          <t>TARRAGONA matí</t>
        </is>
      </c>
      <c r="B109" s="11" t="n"/>
      <c r="C109" s="11" t="n"/>
      <c r="D109" s="530" t="n"/>
      <c r="E109" s="544" t="n"/>
      <c r="F109" s="544" t="n"/>
      <c r="G109" s="588" t="n"/>
      <c r="H109" s="588" t="n"/>
      <c r="I109" s="575" t="inlineStr">
        <is>
          <t>EAPC-MARIA</t>
        </is>
      </c>
      <c r="J109" s="544" t="n"/>
      <c r="K109" s="575" t="inlineStr">
        <is>
          <t>EAPC-MARIA</t>
        </is>
      </c>
      <c r="L109" s="544" t="n"/>
      <c r="M109" s="544" t="n"/>
      <c r="N109" s="588" t="n"/>
      <c r="O109" s="588" t="n"/>
      <c r="P109" s="575" t="inlineStr">
        <is>
          <t>EAPC-MARIA</t>
        </is>
      </c>
      <c r="Q109" s="544" t="n"/>
      <c r="R109" s="544" t="n"/>
      <c r="S109" s="544" t="n"/>
      <c r="T109" s="544" t="n"/>
      <c r="U109" s="588" t="n"/>
      <c r="V109" s="588" t="n"/>
      <c r="W109" s="575" t="inlineStr">
        <is>
          <t>T</t>
        </is>
      </c>
      <c r="X109" s="589" t="inlineStr">
        <is>
          <t>IA-ONLINE RAFA</t>
        </is>
      </c>
      <c r="Y109" s="589" t="n"/>
      <c r="Z109" s="589" t="n"/>
      <c r="AA109" s="589" t="n"/>
      <c r="AB109" s="588" t="n"/>
      <c r="AC109" s="588" t="n"/>
      <c r="AD109" s="589" t="n"/>
      <c r="AE109" s="590" t="inlineStr">
        <is>
          <t>RAFA</t>
        </is>
      </c>
      <c r="AF109" s="589" t="inlineStr">
        <is>
          <t>PRESEN. RAFA</t>
        </is>
      </c>
      <c r="AG109" s="589" t="n"/>
      <c r="AH109" s="589" t="n"/>
      <c r="AK109" s="522" t="inlineStr">
        <is>
          <t>Outlook- EAPC RAFA</t>
        </is>
      </c>
      <c r="AL109" s="54" t="inlineStr">
        <is>
          <t> </t>
        </is>
      </c>
      <c r="AO109" s="474" t="inlineStr">
        <is>
          <t>Taller : Planner - EAPC RAFA</t>
        </is>
      </c>
      <c r="AP109" s="474" t="n"/>
      <c r="AQ109" s="474" t="n"/>
      <c r="AS109" s="462" t="inlineStr">
        <is>
          <t>Taller IA-EAPC RAFA</t>
        </is>
      </c>
    </row>
    <row r="110" hidden="1" ht="15.75" customHeight="1" s="757">
      <c r="A110" s="10" t="inlineStr">
        <is>
          <t>TARRAGONA tarde</t>
        </is>
      </c>
      <c r="B110" s="11" t="n"/>
      <c r="C110" s="11" t="n"/>
      <c r="D110" s="577" t="n"/>
      <c r="E110" s="577" t="n"/>
      <c r="F110" s="530" t="n"/>
      <c r="G110" s="554" t="n"/>
      <c r="H110" s="554" t="n"/>
      <c r="I110" s="577" t="n"/>
      <c r="J110" s="577" t="n"/>
      <c r="K110" s="577" t="n"/>
      <c r="L110" s="577" t="n"/>
      <c r="M110" s="530" t="n"/>
      <c r="N110" s="554" t="n"/>
      <c r="O110" s="554" t="n"/>
      <c r="P110" s="530" t="n"/>
      <c r="Q110" s="530" t="n"/>
      <c r="R110" s="530" t="n"/>
      <c r="S110" s="530" t="n"/>
      <c r="T110" s="530" t="n"/>
      <c r="U110" s="554" t="n"/>
      <c r="V110" s="554" t="n"/>
      <c r="W110" s="530" t="n"/>
      <c r="X110" s="530" t="n"/>
      <c r="Y110" s="530" t="n"/>
      <c r="Z110" s="530" t="n"/>
      <c r="AA110" s="530" t="n"/>
      <c r="AB110" s="554" t="n"/>
      <c r="AC110" s="554" t="n"/>
      <c r="AD110" s="530" t="n"/>
      <c r="AE110" s="530" t="n"/>
      <c r="AF110" s="530" t="n"/>
      <c r="AG110" s="530" t="n"/>
      <c r="AH110" s="530" t="n"/>
      <c r="AI110" s="524" t="n"/>
      <c r="AJ110" s="472" t="n"/>
    </row>
    <row r="111" hidden="1" ht="19.5" customHeight="1" s="757">
      <c r="A111" s="10" t="inlineStr">
        <is>
          <t>on line</t>
        </is>
      </c>
      <c r="B111" s="11" t="n"/>
      <c r="C111" s="11" t="n"/>
      <c r="D111" s="530" t="n"/>
      <c r="E111" s="591" t="n">
        <v>3</v>
      </c>
      <c r="F111" s="530" t="n"/>
      <c r="G111" s="554" t="n"/>
      <c r="H111" s="554" t="n"/>
      <c r="I111" s="530" t="n"/>
      <c r="J111" s="530" t="n"/>
      <c r="K111" s="530" t="n"/>
      <c r="L111" s="530" t="n"/>
      <c r="M111" s="530" t="n"/>
      <c r="N111" s="554" t="n"/>
      <c r="O111" s="554" t="n"/>
      <c r="P111" s="530" t="n"/>
      <c r="Q111" s="530" t="n"/>
      <c r="R111" s="530" t="n"/>
      <c r="S111" s="530" t="n"/>
      <c r="T111" s="530" t="n"/>
      <c r="U111" s="554" t="n"/>
      <c r="V111" s="554" t="n"/>
      <c r="W111" s="530" t="n"/>
      <c r="X111" s="530" t="n"/>
      <c r="Y111" s="530" t="n"/>
      <c r="Z111" s="530" t="n"/>
      <c r="AA111" s="530" t="n"/>
      <c r="AB111" s="554" t="n"/>
      <c r="AC111" s="554" t="n"/>
      <c r="AD111" s="530" t="n"/>
      <c r="AE111" s="530" t="n"/>
      <c r="AF111" s="530" t="n"/>
      <c r="AG111" s="530" t="n"/>
      <c r="AH111" s="530" t="n"/>
      <c r="AI111" s="4" t="n"/>
      <c r="AK111" s="525" t="inlineStr">
        <is>
          <t>IA Conceptes clau 3ª ed 09:30-13:30</t>
        </is>
      </c>
      <c r="AL111" s="52" t="n"/>
      <c r="AM111" s="52" t="n"/>
      <c r="AN111" s="52" t="n"/>
      <c r="AO111" s="52" t="n"/>
    </row>
    <row r="112" hidden="1" s="757">
      <c r="A112" s="775" t="n"/>
      <c r="B112" s="775" t="n"/>
      <c r="C112" s="775" t="n"/>
      <c r="D112" s="775" t="n"/>
      <c r="E112" s="775" t="n"/>
      <c r="F112" s="775" t="n"/>
      <c r="G112" s="775" t="n"/>
      <c r="H112" s="775" t="n"/>
      <c r="I112" s="775" t="n"/>
      <c r="J112" s="775" t="n"/>
      <c r="K112" s="775" t="n"/>
      <c r="L112" s="775" t="n"/>
      <c r="M112" s="775" t="n"/>
      <c r="N112" s="775" t="n"/>
      <c r="O112" s="775" t="n"/>
      <c r="P112" s="775" t="n"/>
      <c r="Q112" s="775" t="n"/>
      <c r="R112" s="775" t="n"/>
      <c r="S112" s="775" t="n"/>
      <c r="T112" s="775" t="n"/>
      <c r="U112" s="775" t="n"/>
      <c r="V112" s="775" t="n"/>
      <c r="W112" s="775" t="n"/>
      <c r="X112" s="775" t="n"/>
      <c r="Y112" s="775" t="n"/>
      <c r="Z112" s="775" t="n"/>
      <c r="AA112" s="775" t="n"/>
      <c r="AB112" s="775" t="n"/>
      <c r="AC112" s="775" t="n"/>
      <c r="AD112" s="775" t="n"/>
      <c r="AE112" s="775" t="n"/>
      <c r="AF112" s="775" t="n"/>
      <c r="AG112" s="775" t="n"/>
      <c r="AH112" s="775" t="n"/>
      <c r="AI112" s="4" t="n"/>
      <c r="AK112" s="572" t="n"/>
      <c r="AL112" s="774" t="n"/>
    </row>
    <row r="113" hidden="1" ht="18.75" customHeight="1" s="757">
      <c r="A113" s="798" t="inlineStr">
        <is>
          <t>NOVIEMBRE 2025</t>
        </is>
      </c>
      <c r="B113" s="156" t="n"/>
      <c r="C113" s="156" t="n"/>
      <c r="D113" s="156" t="n"/>
      <c r="E113" s="156" t="n"/>
      <c r="F113" s="156" t="n"/>
      <c r="G113" s="156" t="n"/>
      <c r="H113" s="156" t="n"/>
      <c r="I113" s="156" t="n"/>
      <c r="J113" s="156" t="n"/>
      <c r="K113" s="156" t="n"/>
      <c r="L113" s="156" t="n"/>
      <c r="M113" s="156" t="n"/>
      <c r="N113" s="156" t="n"/>
      <c r="O113" s="156" t="n"/>
      <c r="P113" s="156" t="n"/>
      <c r="Q113" s="156" t="n"/>
      <c r="R113" s="156" t="n"/>
      <c r="S113" s="156" t="n"/>
      <c r="T113" s="156" t="n"/>
      <c r="U113" s="156" t="n"/>
      <c r="V113" s="156" t="n"/>
      <c r="W113" s="156" t="n"/>
      <c r="X113" s="156" t="n"/>
      <c r="Y113" s="156" t="n"/>
      <c r="Z113" s="156" t="n"/>
      <c r="AA113" s="156" t="n"/>
      <c r="AB113" s="156" t="n"/>
      <c r="AC113" s="156" t="n"/>
      <c r="AD113" s="156" t="n"/>
      <c r="AE113" s="156" t="n"/>
      <c r="AF113" s="156" t="n"/>
      <c r="AG113" s="156" t="n"/>
      <c r="AH113" s="142" t="n"/>
      <c r="AI113" s="4" t="n">
        <v>20</v>
      </c>
    </row>
    <row r="114" hidden="1" ht="74.25" customFormat="1" customHeight="1" s="505">
      <c r="A114" s="501" t="inlineStr">
        <is>
          <t>AULA</t>
        </is>
      </c>
      <c r="B114" s="502" t="inlineStr">
        <is>
          <t>INICI</t>
        </is>
      </c>
      <c r="C114" s="502" t="inlineStr">
        <is>
          <t>FINAL</t>
        </is>
      </c>
      <c r="D114" s="503" t="n">
        <v>45962</v>
      </c>
      <c r="E114" s="503" t="n">
        <v>45963</v>
      </c>
      <c r="F114" s="503" t="n">
        <v>45964</v>
      </c>
      <c r="G114" s="503" t="n">
        <v>45965</v>
      </c>
      <c r="H114" s="503" t="n">
        <v>45966</v>
      </c>
      <c r="I114" s="503" t="n">
        <v>45967</v>
      </c>
      <c r="J114" s="503" t="n">
        <v>45968</v>
      </c>
      <c r="K114" s="503" t="n">
        <v>45969</v>
      </c>
      <c r="L114" s="503" t="n">
        <v>45970</v>
      </c>
      <c r="M114" s="503" t="n">
        <v>45971</v>
      </c>
      <c r="N114" s="503" t="n">
        <v>45972</v>
      </c>
      <c r="O114" s="503" t="n">
        <v>45973</v>
      </c>
      <c r="P114" s="503" t="n">
        <v>45974</v>
      </c>
      <c r="Q114" s="503" t="n">
        <v>45975</v>
      </c>
      <c r="R114" s="503" t="n">
        <v>45976</v>
      </c>
      <c r="S114" s="503" t="n">
        <v>45977</v>
      </c>
      <c r="T114" s="503" t="n">
        <v>45978</v>
      </c>
      <c r="U114" s="503" t="n">
        <v>45979</v>
      </c>
      <c r="V114" s="503" t="n">
        <v>45980</v>
      </c>
      <c r="W114" s="503" t="n">
        <v>45981</v>
      </c>
      <c r="X114" s="503" t="n">
        <v>45982</v>
      </c>
      <c r="Y114" s="503" t="n">
        <v>45983</v>
      </c>
      <c r="Z114" s="503" t="n">
        <v>45984</v>
      </c>
      <c r="AA114" s="503" t="n">
        <v>45985</v>
      </c>
      <c r="AB114" s="503" t="n">
        <v>45986</v>
      </c>
      <c r="AC114" s="503" t="n">
        <v>45987</v>
      </c>
      <c r="AD114" s="503" t="n">
        <v>45988</v>
      </c>
      <c r="AE114" s="503" t="n">
        <v>45989</v>
      </c>
      <c r="AF114" s="503" t="n">
        <v>45990</v>
      </c>
      <c r="AG114" s="503" t="n">
        <v>45991</v>
      </c>
      <c r="AH114" s="503" t="n"/>
      <c r="AI114" s="504" t="n"/>
    </row>
    <row r="115" hidden="1" ht="15.75" customHeight="1" s="757">
      <c r="A115" s="10" t="inlineStr">
        <is>
          <t>GOOGLE MATINS</t>
        </is>
      </c>
      <c r="B115" s="11" t="n"/>
      <c r="C115" s="11" t="n"/>
      <c r="D115" s="592" t="n"/>
      <c r="E115" s="554" t="n"/>
      <c r="F115" s="775" t="n"/>
      <c r="G115" s="530" t="n"/>
      <c r="H115" s="530" t="n"/>
      <c r="I115" s="530" t="n"/>
      <c r="J115" s="530" t="n"/>
      <c r="K115" s="554" t="n"/>
      <c r="L115" s="554" t="n"/>
      <c r="M115" s="530" t="n"/>
      <c r="N115" s="530" t="n"/>
      <c r="O115" s="530" t="n"/>
      <c r="P115" s="530" t="n"/>
      <c r="Q115" s="530" t="n"/>
      <c r="R115" s="554" t="n"/>
      <c r="S115" s="554" t="n"/>
      <c r="T115" s="530" t="n"/>
      <c r="U115" s="530" t="n"/>
      <c r="V115" s="530" t="n"/>
      <c r="W115" s="530" t="n"/>
      <c r="X115" s="530" t="n"/>
      <c r="Y115" s="554" t="n"/>
      <c r="Z115" s="554" t="n"/>
      <c r="AA115" s="530" t="n"/>
      <c r="AB115" s="530" t="n"/>
      <c r="AC115" s="530" t="n"/>
      <c r="AD115" s="530" t="n"/>
      <c r="AE115" s="530" t="n"/>
      <c r="AF115" s="554" t="n"/>
      <c r="AG115" s="554" t="n"/>
      <c r="AH115" s="530" t="n"/>
      <c r="AI115" s="4" t="n"/>
      <c r="AS115">
        <f>150/6</f>
        <v/>
      </c>
    </row>
    <row r="116" hidden="1" ht="19.5" customHeight="1" s="757" thickBot="1">
      <c r="A116" s="10" t="inlineStr">
        <is>
          <t>FIREFOX matí</t>
        </is>
      </c>
      <c r="B116" s="456" t="n"/>
      <c r="C116" s="456" t="n"/>
      <c r="D116" s="593" t="n"/>
      <c r="E116" s="554" t="n"/>
      <c r="F116" s="594" t="n"/>
      <c r="G116" s="506" t="inlineStr">
        <is>
          <t>MARIA</t>
        </is>
      </c>
      <c r="H116" s="506" t="inlineStr">
        <is>
          <t>RAFA</t>
        </is>
      </c>
      <c r="I116" s="507" t="inlineStr">
        <is>
          <t>RAFA</t>
        </is>
      </c>
      <c r="J116" s="595" t="n"/>
      <c r="K116" s="554" t="n"/>
      <c r="L116" s="554" t="n"/>
      <c r="M116" s="530" t="n"/>
      <c r="N116" s="530" t="n"/>
      <c r="O116" s="530" t="n"/>
      <c r="P116" s="530" t="n"/>
      <c r="Q116" s="530" t="n"/>
      <c r="R116" s="554" t="n"/>
      <c r="S116" s="554" t="n"/>
      <c r="T116" s="530" t="n"/>
      <c r="U116" s="530" t="n"/>
      <c r="V116" s="530" t="n"/>
      <c r="W116" s="530" t="n"/>
      <c r="X116" s="530" t="n"/>
      <c r="Y116" s="554" t="n"/>
      <c r="Z116" s="554" t="n"/>
      <c r="AA116" s="530" t="n"/>
      <c r="AB116" s="530" t="n"/>
      <c r="AC116" s="530" t="n"/>
      <c r="AD116" s="530" t="n"/>
      <c r="AE116" s="530" t="n"/>
      <c r="AF116" s="554" t="n"/>
      <c r="AG116" s="554" t="n"/>
      <c r="AH116" s="530" t="n"/>
      <c r="AI116" s="4" t="n"/>
      <c r="AJ116" s="428">
        <f>AJ102+5</f>
        <v/>
      </c>
      <c r="AK116" s="489" t="inlineStr">
        <is>
          <t>PRL H/D 9H A 15:00H</t>
        </is>
      </c>
      <c r="AL116" s="490" t="n"/>
      <c r="AM116" s="490" t="n"/>
      <c r="AN116" s="508" t="inlineStr">
        <is>
          <t>FCO 5/H 9:00 -14:00</t>
        </is>
      </c>
      <c r="AO116" s="509" t="n"/>
    </row>
    <row r="117" hidden="1" ht="16.5" customHeight="1" s="757" thickBot="1">
      <c r="A117" s="14" t="inlineStr">
        <is>
          <t>COPILOT matí</t>
        </is>
      </c>
      <c r="B117" s="15" t="n"/>
      <c r="C117" s="15" t="n"/>
      <c r="D117" s="596" t="n"/>
      <c r="E117" s="583" t="n"/>
      <c r="F117" s="585" t="n"/>
      <c r="G117" s="585" t="inlineStr">
        <is>
          <t>RAFA</t>
        </is>
      </c>
      <c r="H117" s="585" t="n"/>
      <c r="I117" s="585" t="n"/>
      <c r="J117" s="597" t="n"/>
      <c r="K117" s="583" t="n"/>
      <c r="L117" s="583" t="n"/>
      <c r="M117" s="597" t="n"/>
      <c r="N117" s="597" t="n"/>
      <c r="O117" s="597" t="inlineStr">
        <is>
          <t>RAFA</t>
        </is>
      </c>
      <c r="P117" s="597" t="n"/>
      <c r="Q117" s="598" t="n"/>
      <c r="R117" s="583" t="n"/>
      <c r="S117" s="583" t="n"/>
      <c r="T117" s="598" t="n"/>
      <c r="U117" s="598" t="inlineStr">
        <is>
          <t>4H</t>
        </is>
      </c>
      <c r="V117" s="584" t="n"/>
      <c r="W117" s="584" t="n"/>
      <c r="X117" s="584" t="n"/>
      <c r="Y117" s="583" t="n"/>
      <c r="Z117" s="583" t="n"/>
      <c r="AA117" s="783" t="n"/>
      <c r="AB117" s="783" t="n"/>
      <c r="AC117" s="783" t="n"/>
      <c r="AD117" s="783" t="n"/>
      <c r="AE117" s="783" t="n"/>
      <c r="AF117" s="583" t="n"/>
      <c r="AG117" s="583" t="n"/>
      <c r="AH117" s="783" t="n"/>
      <c r="AI117" s="4" t="n"/>
      <c r="AK117" s="526" t="inlineStr">
        <is>
          <t>COMT0017</t>
        </is>
      </c>
      <c r="AL117" s="74" t="n"/>
      <c r="AM117" s="536" t="inlineStr">
        <is>
          <t>COMT0019</t>
        </is>
      </c>
      <c r="AN117" s="116" t="n"/>
    </row>
    <row r="118" hidden="1" ht="15.75" customHeight="1" s="757">
      <c r="A118" s="17" t="inlineStr">
        <is>
          <t>GOOGLE tarda</t>
        </is>
      </c>
      <c r="B118" s="18" t="n"/>
      <c r="C118" s="18" t="n"/>
      <c r="D118" s="599" t="n"/>
      <c r="E118" s="554" t="n"/>
      <c r="F118" s="530" t="n"/>
      <c r="G118" s="530" t="n"/>
      <c r="H118" s="530" t="n"/>
      <c r="I118" s="530" t="n"/>
      <c r="J118" s="530" t="n"/>
      <c r="K118" s="554" t="n"/>
      <c r="L118" s="554" t="n"/>
      <c r="M118" s="530" t="n"/>
      <c r="N118" s="530" t="n"/>
      <c r="O118" s="530" t="n"/>
      <c r="P118" s="530" t="n"/>
      <c r="Q118" s="530" t="n"/>
      <c r="R118" s="554" t="n"/>
      <c r="S118" s="554" t="n"/>
      <c r="T118" s="530" t="n"/>
      <c r="U118" s="530" t="n"/>
      <c r="V118" s="530" t="n"/>
      <c r="W118" s="530" t="n"/>
      <c r="X118" s="530" t="n"/>
      <c r="Y118" s="554" t="n"/>
      <c r="Z118" s="554" t="n"/>
      <c r="AA118" s="530" t="n"/>
      <c r="AB118" s="530" t="n"/>
      <c r="AC118" s="530" t="n"/>
      <c r="AD118" s="530" t="n"/>
      <c r="AE118" s="530" t="n"/>
      <c r="AF118" s="554" t="n"/>
      <c r="AG118" s="554" t="n"/>
      <c r="AH118" s="530" t="n"/>
      <c r="AI118" s="4" t="n"/>
      <c r="AK118" s="774" t="n"/>
      <c r="AL118" s="774" t="n"/>
      <c r="AM118" s="774" t="n"/>
      <c r="AN118" s="774" t="n"/>
    </row>
    <row r="119" hidden="1" ht="15.75" customHeight="1" s="757">
      <c r="A119" s="10" t="inlineStr">
        <is>
          <t>FIREFOX tarda</t>
        </is>
      </c>
      <c r="B119" s="11" t="n"/>
      <c r="C119" s="11" t="n"/>
      <c r="D119" s="592" t="n"/>
      <c r="E119" s="554" t="n"/>
      <c r="F119" s="530" t="n"/>
      <c r="G119" s="530" t="n"/>
      <c r="H119" s="530" t="n"/>
      <c r="I119" s="530" t="n"/>
      <c r="J119" s="530" t="n"/>
      <c r="K119" s="554" t="n"/>
      <c r="L119" s="554" t="n"/>
      <c r="M119" s="530" t="n"/>
      <c r="N119" s="530" t="n"/>
      <c r="O119" s="530" t="n"/>
      <c r="P119" s="530" t="n"/>
      <c r="Q119" s="530" t="n"/>
      <c r="R119" s="554" t="n"/>
      <c r="S119" s="554" t="n"/>
      <c r="T119" s="530" t="n"/>
      <c r="U119" s="530" t="n"/>
      <c r="V119" s="530" t="n"/>
      <c r="W119" s="530" t="n"/>
      <c r="X119" s="530" t="n"/>
      <c r="Y119" s="554" t="n"/>
      <c r="Z119" s="554" t="n"/>
      <c r="AA119" s="530" t="n"/>
      <c r="AB119" s="530" t="n"/>
      <c r="AC119" s="530" t="n"/>
      <c r="AD119" s="530" t="n"/>
      <c r="AE119" s="530" t="n"/>
      <c r="AF119" s="554" t="n"/>
      <c r="AG119" s="554" t="n"/>
      <c r="AH119" s="530" t="n"/>
    </row>
    <row r="120" hidden="1" ht="16.5" customHeight="1" s="757" thickBot="1">
      <c r="A120" s="14" t="inlineStr">
        <is>
          <t>COPILOT tarda</t>
        </is>
      </c>
      <c r="B120" s="15" t="n"/>
      <c r="C120" s="15" t="n"/>
      <c r="D120" s="596" t="n"/>
      <c r="E120" s="583" t="n"/>
      <c r="F120" s="783" t="n"/>
      <c r="G120" s="783" t="n"/>
      <c r="H120" s="783" t="n"/>
      <c r="I120" s="783" t="n"/>
      <c r="J120" s="783" t="n"/>
      <c r="K120" s="583" t="n"/>
      <c r="L120" s="583" t="n"/>
      <c r="M120" s="783" t="n"/>
      <c r="N120" s="783" t="n"/>
      <c r="O120" s="783" t="n"/>
      <c r="P120" s="783" t="n"/>
      <c r="Q120" s="783" t="n"/>
      <c r="R120" s="583" t="n"/>
      <c r="S120" s="583" t="n"/>
      <c r="T120" s="783" t="n"/>
      <c r="U120" s="783" t="n"/>
      <c r="V120" s="783" t="n"/>
      <c r="W120" s="783" t="n"/>
      <c r="X120" s="783" t="n"/>
      <c r="Y120" s="583" t="n"/>
      <c r="Z120" s="583" t="n"/>
      <c r="AA120" s="783" t="n"/>
      <c r="AB120" s="783" t="n"/>
      <c r="AC120" s="783" t="n"/>
      <c r="AD120" s="574" t="n"/>
      <c r="AE120" s="783" t="n"/>
      <c r="AF120" s="583" t="n"/>
      <c r="AG120" s="583" t="n"/>
      <c r="AH120" s="783" t="n"/>
      <c r="AI120" s="524" t="n"/>
      <c r="AJ120" s="472" t="n">
        <v>25</v>
      </c>
      <c r="AP120" s="775" t="n"/>
    </row>
    <row r="121" hidden="1" ht="15.75" customHeight="1" s="757">
      <c r="A121" s="10" t="inlineStr">
        <is>
          <t>TARRAGONA matí</t>
        </is>
      </c>
      <c r="B121" s="11" t="n"/>
      <c r="C121" s="11" t="n"/>
      <c r="D121" s="592" t="n"/>
      <c r="E121" s="588" t="n"/>
      <c r="F121" s="590" t="inlineStr">
        <is>
          <t>T</t>
        </is>
      </c>
      <c r="G121" s="589" t="inlineStr">
        <is>
          <t>REPAS ACTIC AVANÇAT EAPC (MARIA)</t>
        </is>
      </c>
      <c r="H121" s="589" t="n"/>
      <c r="I121" s="589" t="n"/>
      <c r="J121" s="589" t="n"/>
      <c r="K121" s="588" t="n"/>
      <c r="L121" s="588" t="n"/>
      <c r="M121" s="589" t="n"/>
      <c r="N121" s="589" t="n"/>
      <c r="O121" s="575" t="inlineStr">
        <is>
          <t>PRESENC</t>
        </is>
      </c>
      <c r="P121" s="589" t="n"/>
      <c r="Q121" s="589" t="n"/>
      <c r="R121" s="588" t="n"/>
      <c r="S121" s="588" t="n"/>
      <c r="T121" s="589" t="n"/>
      <c r="U121" s="589" t="n"/>
      <c r="V121" s="575" t="inlineStr">
        <is>
          <t>PRESENCIAL</t>
        </is>
      </c>
      <c r="W121" s="589" t="n"/>
      <c r="X121" s="589" t="n"/>
      <c r="Y121" s="588" t="n"/>
      <c r="Z121" s="588" t="n"/>
      <c r="AA121" s="544" t="n"/>
      <c r="AB121" s="544" t="n"/>
      <c r="AC121" s="544" t="n"/>
      <c r="AD121" s="544" t="n"/>
      <c r="AE121" s="544" t="n"/>
      <c r="AF121" s="588" t="n"/>
      <c r="AG121" s="588" t="n"/>
      <c r="AH121" s="544" t="n"/>
      <c r="AI121" s="4" t="n"/>
      <c r="AK121" s="600" t="inlineStr">
        <is>
          <t>Actic Avançat Mixt</t>
        </is>
      </c>
      <c r="AL121" s="462" t="n"/>
      <c r="AM121" s="462" t="n"/>
      <c r="AO121" s="522" t="inlineStr">
        <is>
          <t>P</t>
        </is>
      </c>
    </row>
    <row r="122" hidden="1" ht="15.75" customHeight="1" s="757">
      <c r="A122" s="10" t="inlineStr">
        <is>
          <t>TARRAGONA tarde</t>
        </is>
      </c>
      <c r="B122" s="11" t="n"/>
      <c r="C122" s="11" t="n"/>
      <c r="D122" s="592" t="n"/>
      <c r="E122" s="554" t="n"/>
      <c r="F122" s="530" t="n"/>
      <c r="G122" s="530" t="n"/>
      <c r="H122" s="530" t="n"/>
      <c r="I122" s="530" t="n"/>
      <c r="J122" s="530" t="n"/>
      <c r="K122" s="554" t="n"/>
      <c r="L122" s="554" t="n"/>
      <c r="M122" s="530" t="n"/>
      <c r="N122" s="530" t="n"/>
      <c r="O122" s="343" t="n"/>
      <c r="P122" s="530" t="n"/>
      <c r="Q122" s="530" t="n"/>
      <c r="R122" s="554" t="n"/>
      <c r="S122" s="554" t="n"/>
      <c r="T122" s="530" t="n"/>
      <c r="U122" s="530" t="n"/>
      <c r="V122" s="530" t="n"/>
      <c r="W122" s="530" t="n"/>
      <c r="X122" s="530" t="n"/>
      <c r="Y122" s="554" t="n"/>
      <c r="Z122" s="554" t="n"/>
      <c r="AA122" s="530" t="n"/>
      <c r="AB122" s="530" t="n"/>
      <c r="AC122" s="530" t="n"/>
      <c r="AD122" s="530" t="n"/>
      <c r="AE122" s="530" t="n"/>
      <c r="AF122" s="554" t="n"/>
      <c r="AG122" s="554" t="n"/>
      <c r="AH122" s="530" t="n"/>
      <c r="AI122" s="4" t="n"/>
      <c r="AK122" s="641" t="n"/>
      <c r="AQ122" s="601" t="n"/>
      <c r="AR122" s="601" t="n"/>
      <c r="AS122" s="601" t="n"/>
    </row>
    <row r="123" hidden="1" ht="19.5" customHeight="1" s="757">
      <c r="A123" s="10" t="inlineStr">
        <is>
          <t>on line</t>
        </is>
      </c>
      <c r="B123" s="11" t="n"/>
      <c r="C123" s="11" t="n"/>
      <c r="D123" s="592" t="n"/>
      <c r="E123" s="554" t="n"/>
      <c r="F123" s="577" t="n"/>
      <c r="G123" s="577" t="n"/>
      <c r="H123" s="577" t="n"/>
      <c r="I123" s="577" t="n"/>
      <c r="J123" s="577" t="n"/>
      <c r="K123" s="554" t="n"/>
      <c r="L123" s="554" t="n"/>
      <c r="M123" s="577" t="n"/>
      <c r="N123" s="577" t="n"/>
      <c r="O123" s="577" t="n"/>
      <c r="P123" s="577" t="n"/>
      <c r="Q123" s="577" t="n"/>
      <c r="R123" s="554" t="n"/>
      <c r="S123" s="554" t="n"/>
      <c r="T123" s="577" t="n"/>
      <c r="U123" s="577" t="n"/>
      <c r="V123" s="577" t="n"/>
      <c r="W123" s="577" t="n"/>
      <c r="X123" s="577" t="n"/>
      <c r="Y123" s="554" t="n"/>
      <c r="Z123" s="554" t="n"/>
      <c r="AA123" s="577" t="n"/>
      <c r="AB123" s="577" t="n"/>
      <c r="AC123" s="577" t="n"/>
      <c r="AD123" s="530" t="n"/>
      <c r="AE123" s="530" t="n"/>
      <c r="AF123" s="554" t="n"/>
      <c r="AG123" s="554" t="n"/>
      <c r="AH123" s="530" t="n"/>
      <c r="AI123" s="4" t="n"/>
      <c r="AK123" s="775" t="n"/>
    </row>
    <row r="124">
      <c r="A124" s="775" t="n"/>
      <c r="B124" s="775" t="n"/>
      <c r="C124" s="775" t="n"/>
      <c r="D124" s="775" t="n"/>
      <c r="E124" s="775" t="n"/>
      <c r="F124" s="775" t="n"/>
      <c r="G124" s="775" t="n"/>
      <c r="H124" s="775" t="n"/>
      <c r="I124" s="775" t="n"/>
      <c r="J124" s="775" t="n"/>
      <c r="K124" s="775" t="n"/>
      <c r="L124" s="775" t="n"/>
      <c r="M124" s="775" t="n"/>
      <c r="N124" s="775" t="n"/>
      <c r="O124" s="775" t="n"/>
      <c r="P124" s="775" t="n"/>
      <c r="Q124" s="775" t="n"/>
      <c r="R124" s="775" t="n"/>
      <c r="S124" s="775" t="n"/>
      <c r="T124" s="775" t="n"/>
      <c r="U124" s="775" t="n"/>
      <c r="V124" s="775" t="n"/>
      <c r="W124" s="775" t="n"/>
      <c r="X124" s="775" t="n"/>
      <c r="Y124" s="775" t="n"/>
      <c r="Z124" s="775" t="n"/>
      <c r="AA124" s="775" t="n"/>
      <c r="AB124" s="775" t="n"/>
      <c r="AC124" s="775" t="n"/>
      <c r="AD124" s="775" t="n"/>
      <c r="AE124" s="775" t="n"/>
      <c r="AF124" s="775" t="n"/>
      <c r="AG124" s="775" t="n"/>
      <c r="AH124" s="775" t="n"/>
      <c r="AI124" s="4" t="n"/>
      <c r="AK124" s="645" t="n"/>
      <c r="AM124" s="774" t="n"/>
      <c r="AN124" s="774" t="n"/>
      <c r="AO124" s="774" t="n"/>
      <c r="AP124" s="774" t="n"/>
      <c r="AQ124" s="774" t="n"/>
      <c r="AR124" s="572" t="n"/>
      <c r="AS124" s="774" t="n"/>
      <c r="AT124" s="774" t="n"/>
      <c r="AU124" s="774" t="n"/>
    </row>
    <row r="125" hidden="1" ht="18.75" customHeight="1" s="757">
      <c r="A125" s="798" t="inlineStr">
        <is>
          <t>DESEMBRE 2025</t>
        </is>
      </c>
      <c r="B125" s="156" t="n"/>
      <c r="C125" s="156" t="n"/>
      <c r="D125" s="156" t="n"/>
      <c r="E125" s="156" t="n"/>
      <c r="F125" s="156" t="n"/>
      <c r="G125" s="156" t="n"/>
      <c r="H125" s="156" t="n"/>
      <c r="I125" s="156" t="n"/>
      <c r="J125" s="156" t="n"/>
      <c r="K125" s="156" t="n"/>
      <c r="L125" s="156" t="n"/>
      <c r="M125" s="156" t="n"/>
      <c r="N125" s="156" t="n"/>
      <c r="O125" s="156" t="n"/>
      <c r="P125" s="156" t="n"/>
      <c r="Q125" s="156" t="n"/>
      <c r="R125" s="156" t="n"/>
      <c r="S125" s="156" t="n"/>
      <c r="T125" s="156" t="n"/>
      <c r="U125" s="156" t="n"/>
      <c r="V125" s="156" t="n"/>
      <c r="W125" s="156" t="n"/>
      <c r="X125" s="156" t="n"/>
      <c r="Y125" s="156" t="n"/>
      <c r="Z125" s="156" t="n"/>
      <c r="AA125" s="156" t="n"/>
      <c r="AB125" s="156" t="n"/>
      <c r="AC125" s="156" t="n"/>
      <c r="AD125" s="156" t="n"/>
      <c r="AE125" s="156" t="n"/>
      <c r="AF125" s="156" t="n"/>
      <c r="AG125" s="156" t="n"/>
      <c r="AH125" s="142" t="n"/>
      <c r="AI125" s="4" t="n">
        <v>14</v>
      </c>
    </row>
    <row r="126" hidden="1" ht="80.25" customFormat="1" customHeight="1" s="505">
      <c r="A126" s="501" t="inlineStr">
        <is>
          <t>AULA</t>
        </is>
      </c>
      <c r="B126" s="502" t="inlineStr">
        <is>
          <t>INICI</t>
        </is>
      </c>
      <c r="C126" s="502" t="inlineStr">
        <is>
          <t>FINAL</t>
        </is>
      </c>
      <c r="D126" s="503" t="n">
        <v>45992</v>
      </c>
      <c r="E126" s="503" t="n">
        <v>45993</v>
      </c>
      <c r="F126" s="503" t="n">
        <v>45994</v>
      </c>
      <c r="G126" s="503" t="n">
        <v>45995</v>
      </c>
      <c r="H126" s="503" t="n">
        <v>45996</v>
      </c>
      <c r="I126" s="503" t="n">
        <v>45997</v>
      </c>
      <c r="J126" s="503" t="n">
        <v>45998</v>
      </c>
      <c r="K126" s="503" t="n">
        <v>45999</v>
      </c>
      <c r="L126" s="503" t="n">
        <v>46000</v>
      </c>
      <c r="M126" s="503" t="n">
        <v>46001</v>
      </c>
      <c r="N126" s="503" t="n">
        <v>46002</v>
      </c>
      <c r="O126" s="503" t="n">
        <v>46003</v>
      </c>
      <c r="P126" s="503" t="n">
        <v>46004</v>
      </c>
      <c r="Q126" s="503" t="n">
        <v>46005</v>
      </c>
      <c r="R126" s="503" t="n">
        <v>46006</v>
      </c>
      <c r="S126" s="503" t="n">
        <v>46007</v>
      </c>
      <c r="T126" s="503" t="n">
        <v>46008</v>
      </c>
      <c r="U126" s="503" t="n">
        <v>46009</v>
      </c>
      <c r="V126" s="503" t="n">
        <v>46010</v>
      </c>
      <c r="W126" s="503" t="n">
        <v>46011</v>
      </c>
      <c r="X126" s="503" t="n">
        <v>46012</v>
      </c>
      <c r="Y126" s="503" t="n">
        <v>46013</v>
      </c>
      <c r="Z126" s="503" t="n">
        <v>46014</v>
      </c>
      <c r="AA126" s="503" t="n">
        <v>46015</v>
      </c>
      <c r="AB126" s="503" t="n">
        <v>46016</v>
      </c>
      <c r="AC126" s="503" t="n">
        <v>46017</v>
      </c>
      <c r="AD126" s="503" t="n">
        <v>46018</v>
      </c>
      <c r="AE126" s="503" t="n">
        <v>46019</v>
      </c>
      <c r="AF126" s="503" t="n">
        <v>46020</v>
      </c>
      <c r="AG126" s="503" t="n">
        <v>46021</v>
      </c>
      <c r="AH126" s="503" t="n">
        <v>46022</v>
      </c>
      <c r="AI126" s="504" t="n"/>
    </row>
    <row r="127" hidden="1" ht="15.75" customHeight="1" s="757">
      <c r="A127" s="10" t="inlineStr">
        <is>
          <t>GOOGLE MATINS</t>
        </is>
      </c>
      <c r="B127" s="11" t="n"/>
      <c r="C127" s="11" t="n"/>
      <c r="D127" s="530" t="n"/>
      <c r="E127" s="530" t="n"/>
      <c r="F127" s="530" t="n"/>
      <c r="G127" s="530" t="n"/>
      <c r="H127" s="530" t="n"/>
      <c r="I127" s="592" t="n"/>
      <c r="J127" s="554" t="n"/>
      <c r="K127" s="592" t="n"/>
      <c r="L127" s="530" t="n"/>
      <c r="M127" s="530" t="n"/>
      <c r="N127" s="530" t="n"/>
      <c r="O127" s="530" t="n"/>
      <c r="P127" s="554" t="n"/>
      <c r="Q127" s="554" t="n"/>
      <c r="R127" s="530" t="n"/>
      <c r="S127" s="530" t="n"/>
      <c r="T127" s="530" t="n"/>
      <c r="U127" s="530" t="n"/>
      <c r="V127" s="530" t="n"/>
      <c r="W127" s="554" t="n"/>
      <c r="X127" s="554" t="n"/>
      <c r="Y127" s="602" t="n"/>
      <c r="Z127" s="602" t="n"/>
      <c r="AA127" s="602" t="n"/>
      <c r="AB127" s="592" t="n"/>
      <c r="AC127" s="592" t="n"/>
      <c r="AD127" s="554" t="n"/>
      <c r="AE127" s="554" t="n"/>
      <c r="AF127" s="602" t="n"/>
      <c r="AG127" s="602" t="n"/>
      <c r="AH127" s="602" t="n"/>
      <c r="AI127" s="4" t="n"/>
    </row>
    <row r="128" hidden="1" ht="15.75" customHeight="1" s="757">
      <c r="A128" s="10" t="inlineStr">
        <is>
          <t>FIREFOX matí</t>
        </is>
      </c>
      <c r="B128" s="456" t="n"/>
      <c r="C128" s="456" t="n"/>
      <c r="D128" s="603" t="n"/>
      <c r="E128" s="530" t="n"/>
      <c r="F128" s="530" t="n"/>
      <c r="G128" s="530" t="n"/>
      <c r="I128" s="592" t="n"/>
      <c r="J128" s="554" t="n"/>
      <c r="K128" s="592" t="n"/>
      <c r="L128" s="530" t="n"/>
      <c r="M128" s="530" t="n"/>
      <c r="N128" s="530" t="n"/>
      <c r="O128" s="530" t="n"/>
      <c r="P128" s="554" t="n"/>
      <c r="Q128" s="554" t="n"/>
      <c r="R128" s="530" t="n"/>
      <c r="S128" s="530" t="n"/>
      <c r="T128" s="530" t="n"/>
      <c r="V128" s="530" t="n"/>
      <c r="W128" s="554" t="n"/>
      <c r="X128" s="554" t="n"/>
      <c r="Y128" s="602" t="n"/>
      <c r="Z128" s="602" t="n"/>
      <c r="AA128" s="602" t="n"/>
      <c r="AB128" s="592" t="n"/>
      <c r="AC128" s="592" t="n"/>
      <c r="AD128" s="554" t="n"/>
      <c r="AE128" s="554" t="n"/>
      <c r="AF128" s="602" t="n"/>
      <c r="AG128" s="602" t="n"/>
      <c r="AH128" s="602" t="n"/>
      <c r="AI128" s="4" t="n"/>
    </row>
    <row r="129" hidden="1" ht="16.5" customHeight="1" s="757" thickBot="1">
      <c r="A129" s="14" t="inlineStr">
        <is>
          <t>COPILOT matí</t>
        </is>
      </c>
      <c r="B129" s="15" t="n"/>
      <c r="C129" s="15" t="n"/>
      <c r="D129" s="783" t="n"/>
      <c r="E129" s="783" t="n"/>
      <c r="F129" s="783" t="n"/>
      <c r="G129" s="783" t="n"/>
      <c r="H129" s="783" t="n"/>
      <c r="I129" s="596" t="n"/>
      <c r="J129" s="583" t="n"/>
      <c r="K129" s="596" t="n"/>
      <c r="L129" s="783" t="n"/>
      <c r="M129" s="604" t="inlineStr">
        <is>
          <t>IFCM_ITI02</t>
        </is>
      </c>
      <c r="N129" s="604" t="n"/>
      <c r="O129" s="604" t="n"/>
      <c r="P129" s="583" t="n"/>
      <c r="Q129" s="583" t="n"/>
      <c r="R129" s="604" t="n"/>
      <c r="S129" s="604" t="n"/>
      <c r="T129" s="604" t="n"/>
      <c r="U129" s="604" t="n"/>
      <c r="V129" s="604" t="n"/>
      <c r="W129" s="583" t="n"/>
      <c r="X129" s="583" t="n"/>
      <c r="Y129" s="605" t="n"/>
      <c r="Z129" s="605" t="n"/>
      <c r="AA129" s="605" t="n"/>
      <c r="AB129" s="596" t="n"/>
      <c r="AC129" s="596" t="n"/>
      <c r="AD129" s="583" t="n"/>
      <c r="AE129" s="583" t="n"/>
      <c r="AF129" s="605" t="n"/>
      <c r="AG129" s="605" t="n"/>
      <c r="AH129" s="605" t="n"/>
      <c r="AI129" s="4" t="n"/>
      <c r="AK129" s="606" t="inlineStr">
        <is>
          <t>IFCM_ITI02 5H/D 9-14H</t>
        </is>
      </c>
      <c r="AL129" s="512" t="n"/>
      <c r="AM129" s="512" t="n"/>
      <c r="AN129" s="513" t="n"/>
    </row>
    <row r="130" hidden="1" ht="15.75" customHeight="1" s="757">
      <c r="A130" s="17" t="inlineStr">
        <is>
          <t>GOOGLE tarda</t>
        </is>
      </c>
      <c r="B130" s="18" t="n"/>
      <c r="C130" s="18" t="n"/>
      <c r="D130" s="544" t="n"/>
      <c r="E130" s="530" t="n"/>
      <c r="F130" s="530" t="n"/>
      <c r="G130" s="530" t="n"/>
      <c r="H130" s="530" t="n"/>
      <c r="I130" s="592" t="n"/>
      <c r="J130" s="554" t="n"/>
      <c r="K130" s="592" t="n"/>
      <c r="L130" s="530" t="n"/>
      <c r="M130" s="530" t="n"/>
      <c r="N130" s="530" t="n"/>
      <c r="O130" s="530" t="n"/>
      <c r="P130" s="554" t="n"/>
      <c r="Q130" s="554" t="n"/>
      <c r="R130" s="530" t="n"/>
      <c r="S130" s="530" t="n"/>
      <c r="T130" s="530" t="n"/>
      <c r="U130" s="530" t="n"/>
      <c r="V130" s="530" t="n"/>
      <c r="W130" s="554" t="n"/>
      <c r="X130" s="554" t="n"/>
      <c r="Y130" s="602" t="n"/>
      <c r="Z130" s="602" t="n"/>
      <c r="AA130" s="602" t="n"/>
      <c r="AB130" s="592" t="n"/>
      <c r="AC130" s="592" t="n"/>
      <c r="AD130" s="554" t="n"/>
      <c r="AE130" s="554" t="n"/>
      <c r="AF130" s="602" t="n"/>
      <c r="AG130" s="602" t="n"/>
      <c r="AH130" s="602" t="n"/>
      <c r="AI130" s="4" t="n"/>
    </row>
    <row r="131" hidden="1" ht="15.75" customHeight="1" s="757">
      <c r="A131" s="10" t="inlineStr">
        <is>
          <t>FIREFOX tarda</t>
        </is>
      </c>
      <c r="B131" s="11" t="n"/>
      <c r="C131" s="11" t="n"/>
      <c r="D131" s="530" t="n"/>
      <c r="E131" s="530" t="n"/>
      <c r="F131" s="530" t="n"/>
      <c r="G131" s="530" t="n"/>
      <c r="H131" s="530" t="n"/>
      <c r="I131" s="592" t="n"/>
      <c r="J131" s="554" t="n"/>
      <c r="K131" s="592" t="n"/>
      <c r="L131" s="530" t="n"/>
      <c r="M131" s="530" t="n"/>
      <c r="N131" s="530" t="n"/>
      <c r="O131" s="530" t="n"/>
      <c r="P131" s="554" t="n"/>
      <c r="Q131" s="554" t="n"/>
      <c r="R131" s="530" t="n"/>
      <c r="S131" s="530" t="n"/>
      <c r="T131" s="530" t="n"/>
      <c r="U131" s="530" t="n"/>
      <c r="V131" s="530" t="n"/>
      <c r="W131" s="554" t="n"/>
      <c r="X131" s="554" t="n"/>
      <c r="Y131" s="602" t="n"/>
      <c r="Z131" s="602" t="n"/>
      <c r="AA131" s="602" t="n"/>
      <c r="AB131" s="592" t="n"/>
      <c r="AC131" s="592" t="n"/>
      <c r="AD131" s="554" t="n"/>
      <c r="AE131" s="554" t="n"/>
      <c r="AF131" s="602" t="n"/>
      <c r="AG131" s="602" t="n"/>
      <c r="AH131" s="602" t="n"/>
    </row>
    <row r="132" hidden="1" ht="16.5" customHeight="1" s="757" thickBot="1">
      <c r="A132" s="14" t="inlineStr">
        <is>
          <t>COPILOT tarda</t>
        </is>
      </c>
      <c r="B132" s="15" t="n"/>
      <c r="C132" s="15" t="n"/>
      <c r="D132" s="783" t="n"/>
      <c r="E132" s="783" t="n"/>
      <c r="F132" s="783" t="n"/>
      <c r="G132" s="783" t="n"/>
      <c r="H132" s="783" t="n"/>
      <c r="I132" s="596" t="n"/>
      <c r="J132" s="583" t="n"/>
      <c r="K132" s="596" t="n"/>
      <c r="L132" s="783" t="n"/>
      <c r="M132" s="783" t="n"/>
      <c r="N132" s="783" t="n"/>
      <c r="O132" s="783" t="n"/>
      <c r="P132" s="583" t="n"/>
      <c r="Q132" s="583" t="n"/>
      <c r="R132" s="783" t="n"/>
      <c r="S132" s="783" t="n"/>
      <c r="T132" s="783" t="n"/>
      <c r="U132" s="783" t="n"/>
      <c r="V132" s="783" t="n"/>
      <c r="W132" s="583" t="n"/>
      <c r="X132" s="583" t="n"/>
      <c r="Y132" s="605" t="n"/>
      <c r="Z132" s="605" t="n"/>
      <c r="AA132" s="605" t="n"/>
      <c r="AB132" s="596" t="n"/>
      <c r="AC132" s="596" t="n"/>
      <c r="AD132" s="583" t="n"/>
      <c r="AE132" s="583" t="n"/>
      <c r="AF132" s="605" t="n"/>
      <c r="AG132" s="605" t="n"/>
      <c r="AH132" s="605" t="n"/>
    </row>
    <row r="133" hidden="1" ht="15.75" customHeight="1" s="757">
      <c r="A133" s="10" t="inlineStr">
        <is>
          <t>TARRAGONA matí</t>
        </is>
      </c>
      <c r="B133" s="11" t="n"/>
      <c r="C133" s="11" t="n"/>
      <c r="D133" s="530" t="n"/>
      <c r="E133" s="544" t="n"/>
      <c r="F133" s="544" t="n"/>
      <c r="G133" s="544" t="n"/>
      <c r="H133" s="544" t="n"/>
      <c r="I133" s="599" t="n"/>
      <c r="J133" s="588" t="n"/>
      <c r="K133" s="599" t="n"/>
      <c r="L133" s="544" t="n"/>
      <c r="M133" s="544" t="n"/>
      <c r="N133" s="544" t="n"/>
      <c r="O133" s="544" t="n"/>
      <c r="P133" s="588" t="n"/>
      <c r="Q133" s="588" t="n"/>
      <c r="R133" s="544" t="n"/>
      <c r="S133" s="544" t="n"/>
      <c r="T133" s="544" t="n"/>
      <c r="U133" s="544" t="n"/>
      <c r="V133" s="544" t="n"/>
      <c r="W133" s="588" t="n"/>
      <c r="X133" s="588" t="n"/>
      <c r="Y133" s="607" t="n"/>
      <c r="Z133" s="607" t="n"/>
      <c r="AA133" s="607" t="n"/>
      <c r="AB133" s="599" t="n"/>
      <c r="AC133" s="599" t="n"/>
      <c r="AD133" s="588" t="n"/>
      <c r="AE133" s="588" t="n"/>
      <c r="AF133" s="607" t="n"/>
      <c r="AG133" s="607" t="n"/>
      <c r="AH133" s="607" t="n"/>
    </row>
    <row r="134" hidden="1" ht="15.75" customHeight="1" s="757">
      <c r="A134" s="10" t="inlineStr">
        <is>
          <t>TARRAGONA tarde</t>
        </is>
      </c>
      <c r="B134" s="11" t="n"/>
      <c r="C134" s="11" t="n"/>
      <c r="D134" s="530" t="n"/>
      <c r="E134" s="530" t="n"/>
      <c r="F134" s="530" t="n"/>
      <c r="G134" s="530" t="n"/>
      <c r="H134" s="530" t="n"/>
      <c r="I134" s="592" t="n"/>
      <c r="J134" s="554" t="n"/>
      <c r="K134" s="592" t="n"/>
      <c r="L134" s="530" t="n"/>
      <c r="M134" s="530" t="n"/>
      <c r="N134" s="530" t="n"/>
      <c r="O134" s="530" t="n"/>
      <c r="P134" s="554" t="n"/>
      <c r="Q134" s="554" t="n"/>
      <c r="R134" s="530" t="n"/>
      <c r="S134" s="530" t="n"/>
      <c r="T134" s="530" t="n"/>
      <c r="U134" s="530" t="n"/>
      <c r="V134" s="530" t="n"/>
      <c r="W134" s="554" t="n"/>
      <c r="X134" s="554" t="n"/>
      <c r="Y134" s="602" t="n"/>
      <c r="Z134" s="602" t="n"/>
      <c r="AA134" s="602" t="n"/>
      <c r="AB134" s="592" t="n"/>
      <c r="AC134" s="592" t="n"/>
      <c r="AD134" s="554" t="n"/>
      <c r="AE134" s="554" t="n"/>
      <c r="AF134" s="602" t="n"/>
      <c r="AG134" s="602" t="n"/>
      <c r="AH134" s="602" t="n"/>
    </row>
    <row r="135" hidden="1" ht="19.5" customHeight="1" s="757">
      <c r="A135" s="10" t="inlineStr">
        <is>
          <t>on line</t>
        </is>
      </c>
      <c r="B135" s="11" t="n"/>
      <c r="C135" s="11" t="n"/>
      <c r="D135" s="530" t="n"/>
      <c r="E135" s="577" t="n"/>
      <c r="F135" s="577" t="n"/>
      <c r="G135" s="577" t="n"/>
      <c r="H135" s="577" t="n"/>
      <c r="I135" s="592" t="n"/>
      <c r="J135" s="554" t="n"/>
      <c r="K135" s="592" t="n"/>
      <c r="L135" s="577" t="n"/>
      <c r="M135" s="756" t="n"/>
      <c r="N135" s="577" t="n"/>
      <c r="O135" s="577" t="n"/>
      <c r="P135" s="554" t="n"/>
      <c r="Q135" s="554" t="n"/>
      <c r="R135" s="577" t="n"/>
      <c r="S135" s="577" t="n"/>
      <c r="T135" s="577" t="n"/>
      <c r="U135" s="577" t="n"/>
      <c r="V135" s="577" t="n"/>
      <c r="W135" s="554" t="n"/>
      <c r="X135" s="554" t="n"/>
      <c r="Y135" s="602" t="n"/>
      <c r="Z135" s="602" t="n"/>
      <c r="AA135" s="602" t="n"/>
      <c r="AB135" s="592" t="n"/>
      <c r="AC135" s="592" t="n"/>
      <c r="AD135" s="554" t="n"/>
      <c r="AE135" s="554" t="n"/>
      <c r="AF135" s="602" t="n"/>
      <c r="AG135" s="602" t="n"/>
      <c r="AH135" s="602" t="n"/>
      <c r="AI135" s="4" t="n"/>
    </row>
    <row r="136">
      <c r="A136" s="775" t="n"/>
      <c r="B136" s="775" t="n"/>
      <c r="C136" s="775" t="n"/>
      <c r="D136" s="775" t="n"/>
      <c r="E136" s="775" t="n"/>
      <c r="F136" s="775" t="n"/>
      <c r="G136" s="775" t="n"/>
      <c r="H136" s="775" t="n"/>
      <c r="I136" s="775" t="n"/>
      <c r="J136" s="775" t="n"/>
      <c r="K136" s="775" t="n"/>
      <c r="L136" s="775" t="n"/>
      <c r="M136" s="775" t="n"/>
      <c r="N136" s="775" t="n"/>
      <c r="O136" s="775" t="n"/>
      <c r="P136" s="775" t="n"/>
      <c r="Q136" s="775" t="n"/>
      <c r="R136" s="775" t="n"/>
      <c r="S136" s="775" t="n"/>
      <c r="T136" s="775" t="n"/>
      <c r="U136" s="775" t="n"/>
      <c r="V136" s="775" t="n"/>
      <c r="W136" s="775" t="n"/>
      <c r="X136" s="775" t="n"/>
      <c r="Y136" s="775" t="n"/>
      <c r="Z136" s="775" t="n"/>
      <c r="AA136" s="775" t="n"/>
      <c r="AB136" s="775" t="n"/>
      <c r="AC136" s="775" t="n"/>
      <c r="AD136" s="775" t="n"/>
      <c r="AE136" s="775" t="n"/>
      <c r="AF136" s="775" t="n"/>
      <c r="AG136" s="775" t="n"/>
      <c r="AH136" s="775" t="n"/>
    </row>
    <row r="137"/>
    <row r="138"/>
    <row r="139" ht="21.75" customHeight="1" s="757" thickBot="1">
      <c r="A139" s="805" t="inlineStr">
        <is>
          <t>SETEMBRE 2026</t>
        </is>
      </c>
      <c r="B139" s="156" t="n"/>
      <c r="C139" s="156" t="n"/>
      <c r="D139" s="156" t="n"/>
      <c r="E139" s="156" t="n"/>
      <c r="F139" s="156" t="n"/>
      <c r="G139" s="156" t="n"/>
      <c r="H139" s="156" t="n"/>
      <c r="I139" s="156" t="n"/>
      <c r="J139" s="156" t="n"/>
      <c r="K139" s="156" t="n"/>
      <c r="L139" s="156" t="n"/>
      <c r="M139" s="156" t="n"/>
      <c r="N139" s="156" t="n"/>
      <c r="O139" s="156" t="n"/>
      <c r="P139" s="156" t="n"/>
      <c r="Q139" s="156" t="n"/>
      <c r="R139" s="156" t="n"/>
      <c r="S139" s="156" t="n"/>
      <c r="T139" s="156" t="n"/>
      <c r="U139" s="156" t="n"/>
      <c r="V139" s="156" t="n"/>
      <c r="W139" s="156" t="n"/>
      <c r="X139" s="156" t="n"/>
      <c r="Y139" s="156" t="n"/>
      <c r="Z139" s="156" t="n"/>
      <c r="AA139" s="156" t="n"/>
      <c r="AB139" s="156" t="n"/>
      <c r="AC139" s="156" t="n"/>
      <c r="AD139" s="156" t="n"/>
      <c r="AE139" s="156" t="n"/>
      <c r="AF139" s="156" t="n"/>
      <c r="AG139" s="156" t="n"/>
      <c r="AH139" s="142" t="n"/>
      <c r="AI139" s="500" t="n">
        <v>20</v>
      </c>
    </row>
    <row r="140" ht="66.75" customHeight="1" s="757">
      <c r="A140" s="7" t="inlineStr">
        <is>
          <t>AULA</t>
        </is>
      </c>
      <c r="B140" s="8" t="inlineStr">
        <is>
          <t>INICI</t>
        </is>
      </c>
      <c r="C140" s="8" t="inlineStr">
        <is>
          <t>FINAL</t>
        </is>
      </c>
      <c r="D140" s="9" t="n">
        <v>46266</v>
      </c>
      <c r="E140" s="9" t="n">
        <v>46267</v>
      </c>
      <c r="F140" s="9" t="n">
        <v>46268</v>
      </c>
      <c r="G140" s="9" t="n">
        <v>46269</v>
      </c>
      <c r="H140" s="9" t="n">
        <v>46270</v>
      </c>
      <c r="I140" s="9" t="n">
        <v>46271</v>
      </c>
      <c r="J140" s="9" t="n">
        <v>46272</v>
      </c>
      <c r="K140" s="9" t="n">
        <v>46273</v>
      </c>
      <c r="L140" s="9" t="n">
        <v>46274</v>
      </c>
      <c r="M140" s="9" t="n">
        <v>46275</v>
      </c>
      <c r="N140" s="9" t="n">
        <v>46276</v>
      </c>
      <c r="O140" s="9" t="n">
        <v>46277</v>
      </c>
      <c r="P140" s="9" t="n">
        <v>46278</v>
      </c>
      <c r="Q140" s="9" t="n">
        <v>46279</v>
      </c>
      <c r="R140" s="9" t="n">
        <v>46280</v>
      </c>
      <c r="S140" s="9" t="n">
        <v>46281</v>
      </c>
      <c r="T140" s="9" t="n">
        <v>46282</v>
      </c>
      <c r="U140" s="9" t="n">
        <v>46283</v>
      </c>
      <c r="V140" s="9" t="n">
        <v>46284</v>
      </c>
      <c r="W140" s="9" t="n">
        <v>46285</v>
      </c>
      <c r="X140" s="9" t="n">
        <v>46286</v>
      </c>
      <c r="Y140" s="9" t="n">
        <v>46287</v>
      </c>
      <c r="Z140" s="9" t="n">
        <v>46288</v>
      </c>
      <c r="AA140" s="9" t="n">
        <v>46289</v>
      </c>
      <c r="AB140" s="9" t="n">
        <v>46290</v>
      </c>
      <c r="AC140" s="9" t="n">
        <v>46291</v>
      </c>
      <c r="AD140" s="9" t="n">
        <v>46292</v>
      </c>
      <c r="AE140" s="9" t="n">
        <v>46293</v>
      </c>
      <c r="AF140" s="9" t="n">
        <v>46294</v>
      </c>
      <c r="AG140" s="9" t="n">
        <v>46295</v>
      </c>
      <c r="AH140" s="9" t="n"/>
      <c r="AI140" s="4" t="n"/>
    </row>
    <row r="141" ht="15.75" customHeight="1" s="757">
      <c r="A141" s="10" t="inlineStr">
        <is>
          <t>GOOGLE MATINS</t>
        </is>
      </c>
      <c r="B141" s="11" t="n"/>
      <c r="C141" s="11" t="n"/>
      <c r="D141" s="756" t="n"/>
      <c r="E141" s="756" t="n"/>
      <c r="F141" s="756" t="n"/>
      <c r="G141" s="756" t="n"/>
      <c r="H141" s="24" t="n"/>
      <c r="I141" s="24" t="n"/>
      <c r="J141" s="756" t="n"/>
      <c r="K141" s="756" t="n"/>
      <c r="L141" s="756" t="n"/>
      <c r="M141" s="756" t="n"/>
      <c r="N141" s="26" t="n"/>
      <c r="O141" s="24" t="n"/>
      <c r="P141" s="24" t="n"/>
      <c r="Q141" s="465" t="inlineStr">
        <is>
          <t>IA 2da Ed.</t>
        </is>
      </c>
      <c r="R141" s="465" t="n"/>
      <c r="S141" s="465" t="n"/>
      <c r="T141" s="465" t="n"/>
      <c r="U141" s="465" t="n"/>
      <c r="V141" s="24" t="n"/>
      <c r="W141" s="24" t="n"/>
      <c r="X141" s="32" t="n"/>
      <c r="Y141" s="32" t="n"/>
      <c r="AA141" s="29" t="inlineStr">
        <is>
          <t>IA 3º</t>
        </is>
      </c>
      <c r="AB141" s="29" t="n"/>
      <c r="AC141" s="24" t="n"/>
      <c r="AD141" s="24" t="n"/>
      <c r="AE141" s="29" t="n"/>
      <c r="AF141" s="29" t="n"/>
      <c r="AG141" s="777" t="inlineStr">
        <is>
          <t>IA 4</t>
        </is>
      </c>
      <c r="AH141" s="756" t="n"/>
      <c r="AI141" s="4" t="n"/>
      <c r="AJ141">
        <f>11</f>
        <v/>
      </c>
      <c r="AK141" s="769" t="inlineStr">
        <is>
          <t>IFCD117-MARIA 9 A 14 H</t>
        </is>
      </c>
      <c r="AL141" s="768" t="n"/>
      <c r="AM141" s="462" t="n"/>
      <c r="AN141" s="462" t="n"/>
      <c r="AO141" t="n">
        <v>6</v>
      </c>
      <c r="AP141" s="462" t="inlineStr">
        <is>
          <t>FRONT 15:30-21H</t>
        </is>
      </c>
      <c r="AQ141" s="462" t="n"/>
      <c r="AS141" t="inlineStr">
        <is>
          <t>IA -9:00-15:15HRS.</t>
        </is>
      </c>
      <c r="AU141" s="776" t="inlineStr">
        <is>
          <t>IA MARIA 8 PERSONES</t>
        </is>
      </c>
      <c r="AV141" s="289" t="n"/>
    </row>
    <row r="142" ht="18.75" customHeight="1" s="757">
      <c r="A142" s="10" t="inlineStr">
        <is>
          <t>FIREFOX matí</t>
        </is>
      </c>
      <c r="B142" s="456" t="n"/>
      <c r="C142" s="456" t="n"/>
      <c r="D142" s="782" t="n"/>
      <c r="E142" s="756" t="n"/>
      <c r="F142" s="756" t="n"/>
      <c r="G142" s="756" t="n"/>
      <c r="H142" s="24" t="n"/>
      <c r="I142" s="24" t="n"/>
      <c r="J142" s="756" t="n"/>
      <c r="K142" s="756" t="n"/>
      <c r="L142" s="756" t="n"/>
      <c r="M142" s="756" t="n"/>
      <c r="N142" s="26" t="n"/>
      <c r="O142" s="24" t="n"/>
      <c r="P142" s="24" t="n"/>
      <c r="Q142" s="756" t="n"/>
      <c r="R142" s="756" t="n"/>
      <c r="S142" s="756" t="n"/>
      <c r="T142" s="756" t="n"/>
      <c r="U142" s="756" t="n"/>
      <c r="V142" s="24" t="n"/>
      <c r="W142" s="24" t="n"/>
      <c r="X142" s="530" t="n"/>
      <c r="Y142" s="530" t="n"/>
      <c r="Z142" s="756" t="n"/>
      <c r="AA142" s="756" t="n"/>
      <c r="AB142" s="756" t="n"/>
      <c r="AC142" s="24" t="n"/>
      <c r="AD142" s="24" t="n"/>
      <c r="AE142" s="32" t="n"/>
      <c r="AF142" s="32" t="n"/>
      <c r="AG142" s="32" t="n"/>
      <c r="AH142" s="756" t="n"/>
      <c r="AI142" s="4" t="n"/>
      <c r="AJ142" s="428" t="n"/>
      <c r="AK142" s="572" t="n"/>
      <c r="AL142" s="774" t="n"/>
      <c r="AM142" s="774" t="n"/>
      <c r="AN142" s="572" t="n"/>
      <c r="AO142" s="775" t="n"/>
    </row>
    <row r="143" ht="16.5" customHeight="1" s="757" thickBot="1">
      <c r="A143" s="14" t="inlineStr">
        <is>
          <t>COPILOT matí</t>
        </is>
      </c>
      <c r="B143" s="15" t="n"/>
      <c r="C143" s="15" t="n"/>
      <c r="D143" s="778" t="n"/>
      <c r="E143" s="783" t="n"/>
      <c r="F143" s="778" t="n"/>
      <c r="G143" s="778" t="n"/>
      <c r="H143" s="35" t="n"/>
      <c r="I143" s="35" t="n"/>
      <c r="J143" s="778" t="n"/>
      <c r="K143" s="778" t="n"/>
      <c r="L143" s="783" t="n"/>
      <c r="M143" s="778" t="n"/>
      <c r="N143" s="27" t="n"/>
      <c r="O143" s="35" t="n"/>
      <c r="P143" s="35" t="n"/>
      <c r="Q143" s="778" t="n"/>
      <c r="R143" s="778" t="n"/>
      <c r="S143" s="778" t="n"/>
      <c r="T143" s="778" t="n"/>
      <c r="U143" s="778" t="n"/>
      <c r="V143" s="35" t="n"/>
      <c r="W143" s="35" t="n"/>
      <c r="X143" s="778" t="n"/>
      <c r="Y143" s="778" t="n"/>
      <c r="Z143" s="778" t="n"/>
      <c r="AA143" s="778" t="n"/>
      <c r="AB143" s="778" t="n"/>
      <c r="AC143" s="35" t="n"/>
      <c r="AD143" s="35" t="n"/>
      <c r="AE143" s="778" t="n"/>
      <c r="AF143" s="778" t="n"/>
      <c r="AG143" s="778" t="n"/>
      <c r="AH143" s="778" t="n"/>
      <c r="AI143" s="4" t="n"/>
      <c r="AK143" s="572" t="n"/>
      <c r="AL143" s="774" t="n"/>
      <c r="AM143" s="774" t="n"/>
      <c r="AN143" s="572" t="n"/>
    </row>
    <row r="144" ht="16.5" customHeight="1" s="757" thickTop="1">
      <c r="A144" s="17" t="inlineStr">
        <is>
          <t>GOOGLE tarda</t>
        </is>
      </c>
      <c r="B144" s="18" t="n"/>
      <c r="C144" s="18" t="n"/>
      <c r="D144" s="755" t="n"/>
      <c r="E144" s="756" t="n"/>
      <c r="F144" s="756" t="n"/>
      <c r="G144" s="756" t="n"/>
      <c r="H144" s="24" t="n"/>
      <c r="I144" s="24" t="n"/>
      <c r="J144" s="756" t="n"/>
      <c r="K144" s="756" t="n"/>
      <c r="L144" s="756" t="n"/>
      <c r="M144" s="756" t="n"/>
      <c r="N144" s="26" t="n"/>
      <c r="O144" s="24" t="n"/>
      <c r="P144" s="24" t="n"/>
      <c r="Q144" s="756" t="n"/>
      <c r="R144" s="756" t="n"/>
      <c r="S144" s="756" t="n"/>
      <c r="T144" s="756" t="n"/>
      <c r="U144" s="756" t="n"/>
      <c r="V144" s="24" t="n"/>
      <c r="W144" s="24" t="n"/>
      <c r="X144" s="756" t="n"/>
      <c r="Y144" s="756" t="n"/>
      <c r="Z144" s="756" t="n"/>
      <c r="AA144" s="465" t="inlineStr">
        <is>
          <t>FRONT + IA  1</t>
        </is>
      </c>
      <c r="AB144" s="496" t="n"/>
      <c r="AC144" s="24" t="n"/>
      <c r="AD144" s="24" t="n"/>
      <c r="AE144" s="465" t="n">
        <v>2</v>
      </c>
      <c r="AF144" s="496" t="n"/>
      <c r="AG144" s="465" t="n">
        <v>3</v>
      </c>
      <c r="AH144" s="756" t="n"/>
      <c r="AI144" s="4" t="n"/>
      <c r="AJ144" t="n">
        <v>3</v>
      </c>
      <c r="AK144" s="462" t="inlineStr">
        <is>
          <t>FRONT + IA 15:30 A 21:00</t>
        </is>
      </c>
      <c r="AL144" s="462" t="n"/>
      <c r="AM144" s="462" t="n"/>
      <c r="AN144" s="462" t="n"/>
      <c r="AO144" s="497" t="inlineStr">
        <is>
          <t>IA 15:30 a 21:00 h</t>
        </is>
      </c>
      <c r="AP144" s="497" t="n"/>
      <c r="AQ144" s="497" t="n"/>
      <c r="AR144" s="497" t="n"/>
    </row>
    <row r="145" ht="18.75" customHeight="1" s="757">
      <c r="A145" s="10" t="inlineStr">
        <is>
          <t>FIREFOX tarda</t>
        </is>
      </c>
      <c r="B145" s="11" t="n"/>
      <c r="C145" s="11" t="n"/>
      <c r="D145" s="756" t="n"/>
      <c r="E145" s="756" t="n"/>
      <c r="F145" s="756" t="n"/>
      <c r="G145" s="756" t="n"/>
      <c r="H145" s="24" t="n"/>
      <c r="I145" s="24" t="n"/>
      <c r="J145" s="756" t="n"/>
      <c r="K145" s="756" t="n"/>
      <c r="L145" s="756" t="n"/>
      <c r="M145" s="756" t="n"/>
      <c r="N145" s="26" t="n"/>
      <c r="O145" s="24" t="n"/>
      <c r="P145" s="24" t="n"/>
      <c r="Q145" s="608" t="inlineStr">
        <is>
          <t>PROGRAMACIO NEUROLINGUSTICA 1</t>
        </is>
      </c>
      <c r="R145" s="475" t="n"/>
      <c r="S145" s="475" t="n"/>
      <c r="T145" s="475" t="n"/>
      <c r="U145" s="475" t="n"/>
      <c r="V145" s="24" t="n"/>
      <c r="W145" s="24" t="n"/>
      <c r="X145" s="475" t="n"/>
      <c r="Y145" s="608" t="inlineStr">
        <is>
          <t>PNL2</t>
        </is>
      </c>
      <c r="Z145" s="756" t="n"/>
      <c r="AA145" s="475" t="n"/>
      <c r="AB145" s="756" t="n"/>
      <c r="AC145" s="24" t="n"/>
      <c r="AD145" s="24" t="n"/>
      <c r="AE145" s="756" t="n"/>
      <c r="AF145" s="756" t="n"/>
      <c r="AG145" s="756" t="n"/>
      <c r="AH145" s="756" t="n"/>
      <c r="AJ145" s="428" t="n">
        <v>6</v>
      </c>
      <c r="AK145" s="609" t="inlineStr">
        <is>
          <t>PNL 15 A 20H</t>
        </is>
      </c>
      <c r="AL145" s="262" t="n"/>
      <c r="AM145" t="n">
        <v>2</v>
      </c>
      <c r="AN145" s="609" t="inlineStr">
        <is>
          <t>PNL2 15- 20</t>
        </is>
      </c>
    </row>
    <row r="146" ht="16.5" customHeight="1" s="757" thickBot="1">
      <c r="A146" s="14" t="inlineStr">
        <is>
          <t>COPILOT tarda</t>
        </is>
      </c>
      <c r="B146" s="15" t="n"/>
      <c r="C146" s="15" t="n"/>
      <c r="D146" s="778" t="n"/>
      <c r="E146" s="778" t="n"/>
      <c r="F146" s="778" t="n"/>
      <c r="G146" s="778" t="n"/>
      <c r="H146" s="35" t="n"/>
      <c r="I146" s="35" t="n"/>
      <c r="J146" s="778" t="n"/>
      <c r="K146" s="778" t="n"/>
      <c r="L146" s="778" t="n"/>
      <c r="M146" s="778" t="n"/>
      <c r="N146" s="27" t="n"/>
      <c r="O146" s="35" t="n"/>
      <c r="P146" s="35" t="n"/>
      <c r="Q146" s="778" t="n"/>
      <c r="R146" s="778" t="n"/>
      <c r="S146" s="778" t="n"/>
      <c r="T146" s="778" t="n"/>
      <c r="U146" s="778" t="n"/>
      <c r="V146" s="35" t="n"/>
      <c r="W146" s="35" t="n"/>
      <c r="X146" s="778" t="n"/>
      <c r="Y146" s="778" t="n"/>
      <c r="Z146" s="778" t="n"/>
      <c r="AA146" s="778" t="n"/>
      <c r="AB146" s="778" t="n"/>
      <c r="AC146" s="35" t="n"/>
      <c r="AD146" s="35" t="n"/>
      <c r="AE146" s="778" t="n"/>
      <c r="AF146" s="778" t="n"/>
      <c r="AG146" s="778" t="n"/>
      <c r="AH146" s="778" t="n"/>
    </row>
    <row r="147" ht="16.5" customHeight="1" s="757" thickTop="1">
      <c r="A147" s="10" t="inlineStr">
        <is>
          <t>TARRAGONA matí</t>
        </is>
      </c>
      <c r="B147" s="11" t="n"/>
      <c r="C147" s="11" t="n"/>
      <c r="D147" s="756" t="n"/>
      <c r="E147" s="755" t="n"/>
      <c r="F147" s="755" t="n"/>
      <c r="G147" s="755" t="n"/>
      <c r="H147" s="39" t="n"/>
      <c r="I147" s="39" t="n"/>
      <c r="J147" s="755" t="n"/>
      <c r="K147" s="755" t="n"/>
      <c r="L147" s="755" t="n"/>
      <c r="M147" s="755" t="n"/>
      <c r="N147" s="28" t="n"/>
      <c r="O147" s="39" t="n"/>
      <c r="P147" s="39" t="n"/>
      <c r="Q147" s="755" t="n"/>
      <c r="R147" s="523" t="inlineStr">
        <is>
          <t>9 IA 5ª</t>
        </is>
      </c>
      <c r="S147" s="755" t="n"/>
      <c r="T147" s="49" t="inlineStr">
        <is>
          <t>IA 5ª</t>
        </is>
      </c>
      <c r="U147" s="44" t="n"/>
      <c r="V147" s="39" t="n"/>
      <c r="W147" s="39" t="n"/>
      <c r="X147" s="51" t="inlineStr">
        <is>
          <t>TIA5ª</t>
        </is>
      </c>
      <c r="Y147" s="541" t="inlineStr">
        <is>
          <t>excel</t>
        </is>
      </c>
      <c r="Z147" s="28" t="n"/>
      <c r="AA147" s="541" t="inlineStr">
        <is>
          <t>excel</t>
        </is>
      </c>
      <c r="AB147" s="755" t="n"/>
      <c r="AC147" s="39" t="n"/>
      <c r="AD147" s="39" t="n"/>
      <c r="AE147" s="541" t="inlineStr">
        <is>
          <t>excel</t>
        </is>
      </c>
      <c r="AF147" s="755" t="n"/>
      <c r="AG147" s="755" t="n"/>
      <c r="AH147" s="755" t="n"/>
      <c r="AK147" s="770" t="inlineStr">
        <is>
          <t>9 IA 5ª EAPC- 9:00 a 13:30 (10393)</t>
        </is>
      </c>
      <c r="AP147" s="770" t="inlineStr">
        <is>
          <t>excel (nivell mitjà o avançat) EAPC -9:00 A 13:00HRS (10398)</t>
        </is>
      </c>
    </row>
    <row r="148" ht="16.5" customHeight="1" s="757" thickBot="1">
      <c r="A148" s="765" t="inlineStr">
        <is>
          <t>TARRAGONA tarde</t>
        </is>
      </c>
      <c r="B148" s="758" t="n"/>
      <c r="C148" s="758" t="n"/>
      <c r="D148" s="130" t="n"/>
      <c r="E148" s="130" t="n"/>
      <c r="F148" s="130" t="n"/>
      <c r="G148" s="130" t="n"/>
      <c r="H148" s="126" t="n"/>
      <c r="I148" s="126" t="n"/>
      <c r="J148" s="766" t="inlineStr">
        <is>
          <t>wor i excel 16-19:30 h</t>
        </is>
      </c>
      <c r="K148" s="766" t="n"/>
      <c r="L148" s="766" t="n"/>
      <c r="M148" s="766" t="n"/>
      <c r="N148" s="127" t="n"/>
      <c r="O148" s="126" t="n"/>
      <c r="P148" s="126" t="n"/>
      <c r="Q148" s="766" t="inlineStr">
        <is>
          <t>wor i excel 16-19:30 h</t>
        </is>
      </c>
      <c r="R148" s="766" t="n"/>
      <c r="S148" s="766" t="n"/>
      <c r="T148" s="766" t="n"/>
      <c r="U148" s="130" t="n"/>
      <c r="V148" s="126" t="n"/>
      <c r="W148" s="126" t="n"/>
      <c r="X148" s="130" t="n"/>
      <c r="Y148" s="130" t="n"/>
      <c r="Z148" s="127" t="n"/>
      <c r="AA148" s="130" t="n"/>
      <c r="AB148" s="130" t="n"/>
      <c r="AC148" s="126" t="n"/>
      <c r="AD148" s="126" t="n"/>
      <c r="AE148" s="766" t="inlineStr">
        <is>
          <t>wor i excel 16-19:00 h</t>
        </is>
      </c>
      <c r="AF148" s="766" t="n"/>
      <c r="AG148" s="766" t="n"/>
      <c r="AH148" s="130" t="n"/>
      <c r="AK148" s="631" t="inlineStr">
        <is>
          <t xml:space="preserve">ESTARRACO </t>
        </is>
      </c>
      <c r="AL148" s="74" t="n"/>
      <c r="AM148" s="74" t="n"/>
      <c r="AN148" s="74" t="n"/>
      <c r="AO148" s="74" t="n"/>
    </row>
    <row r="149" ht="16.5" customHeight="1" s="757" thickBot="1">
      <c r="A149" s="767" t="inlineStr">
        <is>
          <t>ON LINE MATINS</t>
        </is>
      </c>
      <c r="B149" s="759" t="n"/>
      <c r="C149" s="759" t="n"/>
      <c r="D149" s="761" t="n"/>
      <c r="E149" s="761" t="n"/>
      <c r="F149" s="761" t="n"/>
      <c r="G149" s="761" t="n"/>
      <c r="H149" s="760" t="n"/>
      <c r="I149" s="760" t="n"/>
      <c r="J149" s="761" t="n"/>
      <c r="K149" s="761" t="n"/>
      <c r="L149" s="761" t="n"/>
      <c r="M149" s="761" t="n"/>
      <c r="N149" s="762" t="n"/>
      <c r="O149" s="760" t="n"/>
      <c r="P149" s="760" t="n"/>
      <c r="Q149" s="763" t="inlineStr">
        <is>
          <t>ICICQ ON LINE FSE 0 1º ED.  I 2A ED</t>
        </is>
      </c>
      <c r="R149" s="764" t="n"/>
      <c r="S149" s="763" t="n"/>
      <c r="T149" s="764" t="n"/>
      <c r="U149" s="764" t="n"/>
      <c r="V149" s="760" t="n"/>
      <c r="W149" s="760" t="n"/>
      <c r="X149" s="761" t="n"/>
      <c r="Y149" s="761" t="n"/>
      <c r="Z149" s="762" t="n"/>
      <c r="AA149" s="761" t="n"/>
      <c r="AB149" s="761" t="n"/>
      <c r="AC149" s="760" t="n"/>
      <c r="AD149" s="760" t="n"/>
      <c r="AE149" s="761" t="n"/>
      <c r="AF149" s="761" t="n"/>
      <c r="AG149" s="761" t="n"/>
      <c r="AH149" s="761" t="n"/>
      <c r="AK149" s="422" t="inlineStr">
        <is>
          <t>ICIQ</t>
        </is>
      </c>
    </row>
    <row r="150">
      <c r="AK150" s="630" t="n"/>
    </row>
    <row r="151">
      <c r="AK151" t="inlineStr">
        <is>
          <t>RAFA</t>
        </is>
      </c>
    </row>
    <row r="152" ht="21.75" customHeight="1" s="757" thickBot="1">
      <c r="A152" s="805" t="inlineStr">
        <is>
          <t>OCTUBRE 2026</t>
        </is>
      </c>
      <c r="B152" s="156" t="n"/>
      <c r="C152" s="156" t="n"/>
      <c r="D152" s="156" t="n"/>
      <c r="E152" s="156" t="n"/>
      <c r="F152" s="156" t="n"/>
      <c r="G152" s="156" t="n"/>
      <c r="H152" s="156" t="n"/>
      <c r="I152" s="156" t="n"/>
      <c r="J152" s="156" t="n"/>
      <c r="K152" s="156" t="n"/>
      <c r="L152" s="156" t="n"/>
      <c r="M152" s="156" t="n"/>
      <c r="N152" s="156" t="n"/>
      <c r="O152" s="156" t="n"/>
      <c r="P152" s="156" t="n"/>
      <c r="Q152" s="156" t="n"/>
      <c r="R152" s="156" t="n"/>
      <c r="S152" s="156" t="n"/>
      <c r="T152" s="156" t="n"/>
      <c r="U152" s="156" t="n"/>
      <c r="V152" s="156" t="n"/>
      <c r="W152" s="156" t="n"/>
      <c r="X152" s="156" t="n"/>
      <c r="Y152" s="156" t="n"/>
      <c r="Z152" s="156" t="n"/>
      <c r="AA152" s="156" t="n"/>
      <c r="AB152" s="156" t="n"/>
      <c r="AC152" s="156" t="n"/>
      <c r="AD152" s="156" t="n"/>
      <c r="AE152" s="156" t="n"/>
      <c r="AF152" s="156" t="n"/>
      <c r="AG152" s="156" t="n"/>
      <c r="AH152" s="142" t="n"/>
      <c r="AI152" s="500" t="n">
        <v>21</v>
      </c>
    </row>
    <row r="153" ht="66.75" customHeight="1" s="757">
      <c r="A153" s="7" t="inlineStr">
        <is>
          <t>AULA</t>
        </is>
      </c>
      <c r="B153" s="8" t="inlineStr">
        <is>
          <t>INICI</t>
        </is>
      </c>
      <c r="C153" s="8" t="inlineStr">
        <is>
          <t>FINAL</t>
        </is>
      </c>
      <c r="D153" s="9" t="n">
        <v>46296</v>
      </c>
      <c r="E153" s="9" t="n">
        <v>46297</v>
      </c>
      <c r="F153" s="9" t="n">
        <v>46298</v>
      </c>
      <c r="G153" s="9" t="n">
        <v>46299</v>
      </c>
      <c r="H153" s="9" t="n">
        <v>46300</v>
      </c>
      <c r="I153" s="9" t="n">
        <v>46301</v>
      </c>
      <c r="J153" s="9" t="n">
        <v>46302</v>
      </c>
      <c r="K153" s="9" t="n">
        <v>46303</v>
      </c>
      <c r="L153" s="9" t="n">
        <v>46304</v>
      </c>
      <c r="M153" s="9" t="n">
        <v>46305</v>
      </c>
      <c r="N153" s="9" t="n">
        <v>46306</v>
      </c>
      <c r="O153" s="9" t="n">
        <v>46307</v>
      </c>
      <c r="P153" s="9" t="n">
        <v>46308</v>
      </c>
      <c r="Q153" s="9" t="n">
        <v>46309</v>
      </c>
      <c r="R153" s="9" t="n">
        <v>46310</v>
      </c>
      <c r="S153" s="9" t="n">
        <v>46311</v>
      </c>
      <c r="T153" s="9" t="n">
        <v>46312</v>
      </c>
      <c r="U153" s="9" t="n">
        <v>46313</v>
      </c>
      <c r="V153" s="9" t="n">
        <v>46314</v>
      </c>
      <c r="W153" s="9" t="n">
        <v>46315</v>
      </c>
      <c r="X153" s="9" t="n">
        <v>46316</v>
      </c>
      <c r="Y153" s="9" t="n">
        <v>46317</v>
      </c>
      <c r="Z153" s="9" t="n">
        <v>46318</v>
      </c>
      <c r="AA153" s="9" t="n">
        <v>46319</v>
      </c>
      <c r="AB153" s="9" t="n">
        <v>46320</v>
      </c>
      <c r="AC153" s="9" t="n">
        <v>46321</v>
      </c>
      <c r="AD153" s="9" t="n">
        <v>46322</v>
      </c>
      <c r="AE153" s="9" t="n">
        <v>46323</v>
      </c>
      <c r="AF153" s="9" t="n">
        <v>46324</v>
      </c>
      <c r="AG153" s="9" t="n">
        <v>46325</v>
      </c>
      <c r="AH153" s="9" t="n">
        <v>46326</v>
      </c>
      <c r="AI153" s="4" t="n"/>
      <c r="AQ153">
        <f>265/5.5</f>
        <v/>
      </c>
    </row>
    <row r="154" ht="15.75" customHeight="1" s="757">
      <c r="A154" s="10" t="inlineStr">
        <is>
          <t>GOOGLE MATINS</t>
        </is>
      </c>
      <c r="B154" s="11" t="n"/>
      <c r="C154" s="11" t="n"/>
      <c r="D154" s="773" t="n"/>
      <c r="E154" s="756" t="n"/>
      <c r="F154" s="24" t="n"/>
      <c r="G154" s="24" t="n"/>
      <c r="H154" s="32" t="n"/>
      <c r="I154" s="422" t="inlineStr">
        <is>
          <t>IA FS2025 1276</t>
        </is>
      </c>
      <c r="J154" s="43" t="n"/>
      <c r="K154" s="43" t="n"/>
      <c r="L154" s="43" t="n"/>
      <c r="M154" s="24" t="n"/>
      <c r="N154" s="24" t="n"/>
      <c r="O154" s="26" t="n"/>
      <c r="P154" s="32" t="n"/>
      <c r="Q154" s="628" t="n"/>
      <c r="R154" s="577" t="n"/>
      <c r="S154" s="32" t="n"/>
      <c r="T154" s="24" t="n"/>
      <c r="U154" s="24" t="n"/>
      <c r="V154" s="806" t="n">
        <v>6</v>
      </c>
      <c r="W154" s="807" t="n">
        <v>6</v>
      </c>
      <c r="X154" s="807" t="n">
        <v>6</v>
      </c>
      <c r="Y154" s="807" t="n">
        <v>6</v>
      </c>
      <c r="Z154" s="807" t="n">
        <v>6</v>
      </c>
      <c r="AA154" s="24" t="n"/>
      <c r="AB154" s="24" t="n"/>
      <c r="AC154" s="808" t="n">
        <v>5</v>
      </c>
      <c r="AD154" s="809" t="n">
        <v>5</v>
      </c>
      <c r="AE154" s="810" t="n">
        <v>5</v>
      </c>
      <c r="AF154" s="811" t="n">
        <v>5</v>
      </c>
      <c r="AG154" s="812" t="n">
        <v>6</v>
      </c>
      <c r="AH154" s="24" t="n"/>
      <c r="AI154" s="4" t="n"/>
      <c r="AJ154">
        <f>AJ141+AI152</f>
        <v/>
      </c>
      <c r="AK154" s="776" t="inlineStr">
        <is>
          <t>IA MARIA 8 PERSONES</t>
        </is>
      </c>
      <c r="AL154" s="289" t="n"/>
      <c r="AM154" s="813" t="inlineStr">
        <is>
          <t>FCOS02 BASIC PREVENCIO DE RISCOS LABORALS [FORMA I CONTRACTE - ATURATS] · PER ASSIGNAR · GOOGLE matí 9:00-15:00 · 19/10–23/10 · 30 h</t>
        </is>
      </c>
      <c r="AN154" s="637" t="n"/>
      <c r="AV154" s="814" t="inlineStr">
        <is>
          <t>CTRH0011 DRETS I DEURES LABORALS [FORMA I CONTRACTE - ATURATS] · PER ASSIGNAR · GOOGLE matí 9:00-14:00 · 26/10–27/10 · 10 h</t>
        </is>
      </c>
      <c r="BE154" s="815" t="inlineStr">
        <is>
          <t>CTRHI0015 IGUALTAT DE GÈNERE EN L'AMBIT LABORAL [FORMA I CONTRACTE - ATURATS] · PER ASSIGNAR · GOOGLE matí 9:00-14:00 · 28/10–29/10 · 10 h</t>
        </is>
      </c>
      <c r="BN154" s="816" t="inlineStr">
        <is>
          <t>FCOI25 ACTIC. Seguretat i civisme en l'entorn digital – nivell intermedi [FORMA I CONTRACTE - ATURATS] · PER ASSIGNAR · GOOGLE matí 9:00-15:00 · 30/10–09/11 · 40 h</t>
        </is>
      </c>
    </row>
    <row r="155" ht="15.75" customHeight="1" s="757">
      <c r="A155" s="10" t="inlineStr">
        <is>
          <t>FIREFOX matí</t>
        </is>
      </c>
      <c r="B155" s="456" t="n"/>
      <c r="C155" s="456" t="n"/>
      <c r="D155" s="782" t="n"/>
      <c r="E155" s="756" t="n"/>
      <c r="F155" s="24" t="n"/>
      <c r="G155" s="24" t="n"/>
      <c r="H155" s="756" t="n"/>
      <c r="I155" s="756" t="n"/>
      <c r="J155" s="756" t="n"/>
      <c r="K155" s="756" t="n"/>
      <c r="L155" s="756" t="n"/>
      <c r="M155" s="24" t="n"/>
      <c r="N155" s="24" t="n"/>
      <c r="O155" s="26" t="n"/>
      <c r="P155" s="756" t="n"/>
      <c r="Q155" s="756" t="n"/>
      <c r="R155" s="756" t="n"/>
      <c r="S155" s="756" t="n"/>
      <c r="T155" s="24" t="n"/>
      <c r="U155" s="24" t="n"/>
      <c r="V155" s="817" t="n">
        <v>6</v>
      </c>
      <c r="W155" s="818" t="n">
        <v>6</v>
      </c>
      <c r="X155" s="818" t="n">
        <v>6</v>
      </c>
      <c r="Y155" s="818" t="n">
        <v>6</v>
      </c>
      <c r="Z155" s="818" t="n">
        <v>6</v>
      </c>
      <c r="AA155" s="24" t="n"/>
      <c r="AB155" s="24" t="n"/>
      <c r="AC155" s="818" t="n">
        <v>5</v>
      </c>
      <c r="AD155" s="818" t="n">
        <v>5</v>
      </c>
      <c r="AE155" s="756" t="n"/>
      <c r="AF155" s="756" t="n"/>
      <c r="AG155" s="756" t="n"/>
      <c r="AH155" s="24" t="n"/>
      <c r="AI155" s="4" t="n"/>
      <c r="AK155" s="774" t="n"/>
      <c r="AL155" s="819" t="inlineStr">
        <is>
          <t>CTRP0005 Coaching de fortaleses · RAMON · FIREFOX matí 9:00-15:00 · 19/10–27/10 · 40 h</t>
        </is>
      </c>
    </row>
    <row r="156" ht="16.5" customHeight="1" s="757" thickBot="1">
      <c r="A156" s="14" t="inlineStr">
        <is>
          <t>COPILOT matí</t>
        </is>
      </c>
      <c r="B156" s="15" t="n"/>
      <c r="C156" s="15" t="n"/>
      <c r="D156" s="778" t="n"/>
      <c r="E156" s="778" t="n"/>
      <c r="F156" s="35" t="n"/>
      <c r="G156" s="35" t="n"/>
      <c r="H156" s="778" t="n"/>
      <c r="I156" s="778" t="n"/>
      <c r="J156" s="778" t="n"/>
      <c r="K156" s="778" t="n"/>
      <c r="L156" s="778" t="n"/>
      <c r="M156" s="35" t="n"/>
      <c r="N156" s="35" t="n"/>
      <c r="O156" s="27" t="n"/>
      <c r="P156" s="778" t="n"/>
      <c r="Q156" s="778" t="n"/>
      <c r="R156" s="778" t="n"/>
      <c r="S156" s="778" t="n"/>
      <c r="T156" s="35" t="n"/>
      <c r="U156" s="35" t="n"/>
      <c r="V156" s="820" t="n">
        <v>6</v>
      </c>
      <c r="W156" s="821" t="n">
        <v>6</v>
      </c>
      <c r="X156" s="821" t="n">
        <v>6</v>
      </c>
      <c r="Y156" s="821" t="n">
        <v>6</v>
      </c>
      <c r="Z156" s="821" t="n">
        <v>6</v>
      </c>
      <c r="AA156" s="35" t="n"/>
      <c r="AB156" s="35" t="n"/>
      <c r="AC156" s="821" t="n">
        <v>6</v>
      </c>
      <c r="AD156" s="821" t="n">
        <v>6</v>
      </c>
      <c r="AE156" s="821" t="n">
        <v>6</v>
      </c>
      <c r="AF156" s="821" t="n">
        <v>6</v>
      </c>
      <c r="AG156" s="821" t="n">
        <v>6</v>
      </c>
      <c r="AH156" s="35" t="n"/>
      <c r="AI156" s="4" t="n"/>
      <c r="AK156" s="775" t="n"/>
      <c r="AL156" s="822" t="inlineStr">
        <is>
          <t>CTRL0040 CTRL0040_2024_Català A1 (Català nivell inicial A1) · PER ASSIGNAR · COPILOT matí 9:00-15:00 · 19/10–06/11 · 90 h</t>
        </is>
      </c>
    </row>
    <row r="157" ht="16.5" customHeight="1" s="757" thickTop="1">
      <c r="A157" s="17" t="inlineStr">
        <is>
          <t>GOOGLE tarda</t>
        </is>
      </c>
      <c r="B157" s="18" t="n"/>
      <c r="C157" s="18" t="n"/>
      <c r="D157" s="476" t="n">
        <v>4</v>
      </c>
      <c r="E157" s="496" t="n"/>
      <c r="F157" s="24" t="n"/>
      <c r="G157" s="24" t="n"/>
      <c r="H157" s="465" t="n">
        <v>5</v>
      </c>
      <c r="I157" s="496" t="n"/>
      <c r="J157" s="465" t="n">
        <v>6</v>
      </c>
      <c r="K157" s="496" t="inlineStr">
        <is>
          <t>IA restante 3 horas / Front 2:30  h restante</t>
        </is>
      </c>
      <c r="L157" s="465" t="n">
        <v>7</v>
      </c>
      <c r="M157" s="24" t="n"/>
      <c r="N157" s="24" t="n"/>
      <c r="O157" s="26" t="n"/>
      <c r="P157" s="465" t="n">
        <v>8</v>
      </c>
      <c r="Q157" s="465" t="n">
        <v>9</v>
      </c>
      <c r="R157" s="465" t="n">
        <v>10</v>
      </c>
      <c r="S157" s="465" t="n">
        <v>11</v>
      </c>
      <c r="T157" s="24" t="n"/>
      <c r="U157" s="24" t="n"/>
      <c r="V157" s="465" t="n">
        <v>12</v>
      </c>
      <c r="W157" s="465" t="n">
        <v>13</v>
      </c>
      <c r="X157" s="465" t="n">
        <v>14</v>
      </c>
      <c r="Y157" s="465" t="n">
        <v>15</v>
      </c>
      <c r="Z157" s="465" t="n">
        <v>16</v>
      </c>
      <c r="AA157" s="24" t="n"/>
      <c r="AB157" s="24" t="n"/>
      <c r="AC157" s="465" t="n">
        <v>17</v>
      </c>
      <c r="AD157" s="465" t="n">
        <v>18</v>
      </c>
      <c r="AE157" s="465" t="n">
        <v>19</v>
      </c>
      <c r="AF157" s="465" t="n">
        <v>20</v>
      </c>
      <c r="AG157" s="465" t="n">
        <v>21</v>
      </c>
      <c r="AH157" s="24" t="n"/>
      <c r="AI157" s="4" t="n"/>
      <c r="AJ157">
        <f>AJ144+AI152</f>
        <v/>
      </c>
      <c r="AK157" s="462" t="inlineStr">
        <is>
          <t>FRONT 15:30-21H</t>
        </is>
      </c>
      <c r="AL157" s="462" t="n"/>
      <c r="AM157" s="462" t="n"/>
      <c r="AN157" s="497" t="inlineStr">
        <is>
          <t>IA 15:30 a 21:00 h</t>
        </is>
      </c>
    </row>
    <row r="158" ht="18.75" customHeight="1" s="757">
      <c r="A158" s="10" t="inlineStr">
        <is>
          <t>FIREFOX tarda</t>
        </is>
      </c>
      <c r="B158" s="11" t="n"/>
      <c r="C158" s="11" t="n"/>
      <c r="D158" s="756" t="n"/>
      <c r="E158" s="756" t="n"/>
      <c r="F158" s="24" t="n"/>
      <c r="G158" s="24" t="n"/>
      <c r="H158" s="756" t="n"/>
      <c r="I158" s="475" t="n"/>
      <c r="J158" s="756" t="n"/>
      <c r="K158" s="475" t="n"/>
      <c r="L158" s="756" t="n"/>
      <c r="M158" s="24" t="n"/>
      <c r="N158" s="24" t="n"/>
      <c r="O158" s="26" t="n"/>
      <c r="P158" s="475" t="n"/>
      <c r="Q158" s="756" t="n"/>
      <c r="R158" s="475" t="n"/>
      <c r="S158" s="756" t="n"/>
      <c r="T158" s="24" t="n"/>
      <c r="U158" s="24" t="n"/>
      <c r="V158" s="823" t="n">
        <v>6</v>
      </c>
      <c r="W158" s="824" t="n">
        <v>6</v>
      </c>
      <c r="X158" s="824" t="n">
        <v>6</v>
      </c>
      <c r="Y158" s="824" t="n">
        <v>6</v>
      </c>
      <c r="Z158" s="824" t="n">
        <v>6</v>
      </c>
      <c r="AA158" s="24" t="n"/>
      <c r="AB158" s="24" t="n"/>
      <c r="AC158" s="825" t="n">
        <v>6</v>
      </c>
      <c r="AD158" s="826" t="n">
        <v>6</v>
      </c>
      <c r="AE158" s="826" t="n">
        <v>6</v>
      </c>
      <c r="AF158" s="826" t="n">
        <v>6</v>
      </c>
      <c r="AG158" s="826" t="n">
        <v>6</v>
      </c>
      <c r="AH158" s="24" t="n"/>
      <c r="AJ158" s="428">
        <f>AM145+4</f>
        <v/>
      </c>
      <c r="AK158" s="609" t="inlineStr">
        <is>
          <t>PNL2 15- 20</t>
        </is>
      </c>
      <c r="AM158" s="827" t="inlineStr">
        <is>
          <t>FCOS02 BASIC PREVENCIO DE RISCOS LABORALS [CFCC - TREBALLADORS] · PER ASSIGNAR · FIREFOX tarda 15:00-21:00 · 19/10–23/10 · 30 h</t>
        </is>
      </c>
      <c r="AV158" s="828" t="inlineStr">
        <is>
          <t>ADGG0208 ACTIVITATS ADMINISTRATIVES EN LA RELACIO AMB EL CLIENT [CFCC - TREBALLADORS] · PER ASSIGNAR · FIREFOX tarda 15:00-21:00 · 26/10–16/04 · 678 h</t>
        </is>
      </c>
    </row>
    <row r="159" ht="16.5" customHeight="1" s="757" thickBot="1">
      <c r="A159" s="14" t="inlineStr">
        <is>
          <t>COPILOT tarda</t>
        </is>
      </c>
      <c r="B159" s="15" t="n"/>
      <c r="C159" s="15" t="n"/>
      <c r="D159" s="778" t="n"/>
      <c r="E159" s="778" t="n"/>
      <c r="F159" s="35" t="n"/>
      <c r="G159" s="35" t="n"/>
      <c r="H159" s="778" t="n"/>
      <c r="I159" s="778" t="n"/>
      <c r="J159" s="778" t="n"/>
      <c r="K159" s="778" t="n"/>
      <c r="L159" s="778" t="n"/>
      <c r="M159" s="35" t="n"/>
      <c r="N159" s="35" t="n"/>
      <c r="O159" s="27" t="n"/>
      <c r="P159" s="778" t="n"/>
      <c r="Q159" s="778" t="n"/>
      <c r="R159" s="778" t="n"/>
      <c r="S159" s="778" t="n"/>
      <c r="T159" s="35" t="n"/>
      <c r="U159" s="35" t="n"/>
      <c r="V159" s="829" t="n">
        <v>6</v>
      </c>
      <c r="W159" s="830" t="n">
        <v>5</v>
      </c>
      <c r="X159" s="830" t="n">
        <v>5</v>
      </c>
      <c r="Y159" s="778" t="n"/>
      <c r="Z159" s="778" t="n"/>
      <c r="AA159" s="35" t="n"/>
      <c r="AB159" s="35" t="n"/>
      <c r="AC159" s="778" t="n"/>
      <c r="AD159" s="778" t="n"/>
      <c r="AE159" s="778" t="n"/>
      <c r="AF159" s="778" t="n"/>
      <c r="AG159" s="778" t="n"/>
      <c r="AH159" s="35" t="n"/>
      <c r="AL159" s="831" t="inlineStr">
        <is>
          <t>IMPE0006 Biomagnetisme aplicat a l'estètica · ESTHER · COPILOT tarda 15:00-21:00 · 19/10–21/10 · 16 h</t>
        </is>
      </c>
    </row>
    <row r="160" ht="16.5" customHeight="1" s="757" thickTop="1">
      <c r="A160" s="10" t="inlineStr">
        <is>
          <t>TARRAGONA matí</t>
        </is>
      </c>
      <c r="B160" s="11" t="n"/>
      <c r="C160" s="11" t="n"/>
      <c r="D160" s="756" t="n"/>
      <c r="E160" s="755" t="n"/>
      <c r="F160" s="39" t="n"/>
      <c r="G160" s="39" t="n"/>
      <c r="I160" s="565" t="inlineStr">
        <is>
          <t>10 -OFF 2ª</t>
        </is>
      </c>
      <c r="J160" s="755" t="n"/>
      <c r="K160" s="49" t="inlineStr">
        <is>
          <t>OFF 2ª</t>
        </is>
      </c>
      <c r="L160" s="755" t="n"/>
      <c r="M160" s="39" t="n"/>
      <c r="N160" s="39" t="n"/>
      <c r="O160" s="28" t="n"/>
      <c r="P160" s="49" t="inlineStr">
        <is>
          <t>OFF 2ª</t>
        </is>
      </c>
      <c r="Q160" s="755" t="n"/>
      <c r="R160" s="755" t="n"/>
      <c r="S160" s="755" t="n"/>
      <c r="T160" s="39" t="n"/>
      <c r="U160" s="39" t="n"/>
      <c r="V160" s="51" t="inlineStr">
        <is>
          <t>t. Off.</t>
        </is>
      </c>
      <c r="W160" s="755" t="n"/>
      <c r="X160" s="755" t="n"/>
      <c r="Y160" s="755" t="n"/>
      <c r="Z160" s="755" t="n"/>
      <c r="AA160" s="39" t="n"/>
      <c r="AB160" s="39" t="n"/>
      <c r="AD160" s="523" t="inlineStr">
        <is>
          <t>11 IA 6ª</t>
        </is>
      </c>
      <c r="AF160" s="49" t="inlineStr">
        <is>
          <t>IA 6ª</t>
        </is>
      </c>
      <c r="AG160" s="755" t="n"/>
      <c r="AH160" s="39" t="n"/>
      <c r="AK160" s="772" t="inlineStr">
        <is>
          <t>10 OFFI 2ª EAPC (10388)</t>
        </is>
      </c>
      <c r="AL160" s="51" t="n"/>
      <c r="AP160" s="772" t="inlineStr">
        <is>
          <t>11 IA 6ª (10394)</t>
        </is>
      </c>
    </row>
    <row r="161" ht="15.75" customHeight="1" s="757">
      <c r="A161" s="10" t="inlineStr">
        <is>
          <t>TARRAGONA tarde</t>
        </is>
      </c>
      <c r="B161" s="11" t="n"/>
      <c r="C161" s="11" t="n"/>
      <c r="D161" s="69" t="n"/>
      <c r="E161" s="756" t="n"/>
      <c r="F161" s="24" t="n"/>
      <c r="G161" s="24" t="n"/>
      <c r="H161" s="756" t="n"/>
      <c r="I161" s="756" t="n"/>
      <c r="J161" s="756" t="n"/>
      <c r="K161" s="756" t="n"/>
      <c r="L161" s="756" t="n"/>
      <c r="M161" s="24" t="n"/>
      <c r="N161" s="24" t="n"/>
      <c r="O161" s="26" t="n"/>
      <c r="P161" s="756" t="n"/>
      <c r="Q161" s="756" t="n"/>
      <c r="R161" s="756" t="n"/>
      <c r="S161" s="756" t="n"/>
      <c r="T161" s="24" t="n"/>
      <c r="U161" s="24" t="n"/>
      <c r="V161" s="756" t="n"/>
      <c r="W161" s="756" t="n"/>
      <c r="X161" s="756" t="n"/>
      <c r="Y161" s="756" t="n"/>
      <c r="Z161" s="756" t="n"/>
      <c r="AA161" s="24" t="n"/>
      <c r="AB161" s="24" t="n"/>
      <c r="AC161" s="756" t="n"/>
      <c r="AD161" s="756" t="n"/>
      <c r="AE161" s="756" t="n"/>
      <c r="AF161" s="756" t="n"/>
      <c r="AG161" s="756" t="n"/>
      <c r="AH161" s="24" t="n"/>
      <c r="AK161" s="74" t="inlineStr">
        <is>
          <t xml:space="preserve">ESTARRACO </t>
        </is>
      </c>
      <c r="AL161" s="74" t="n"/>
    </row>
    <row r="162"/>
    <row r="163" ht="21.75" customHeight="1" s="757" thickBot="1">
      <c r="A163" s="805" t="inlineStr">
        <is>
          <t>NOVEMBRE 2026</t>
        </is>
      </c>
      <c r="B163" s="156" t="n"/>
      <c r="C163" s="156" t="n"/>
      <c r="D163" s="156" t="n"/>
      <c r="E163" s="156" t="n"/>
      <c r="F163" s="156" t="n"/>
      <c r="G163" s="156" t="n"/>
      <c r="H163" s="156" t="n"/>
      <c r="I163" s="156" t="n"/>
      <c r="J163" s="156" t="n"/>
      <c r="K163" s="156" t="n"/>
      <c r="L163" s="156" t="n"/>
      <c r="M163" s="156" t="n"/>
      <c r="N163" s="156" t="n"/>
      <c r="O163" s="156" t="n"/>
      <c r="P163" s="156" t="n"/>
      <c r="Q163" s="156" t="n"/>
      <c r="R163" s="156" t="n"/>
      <c r="S163" s="156" t="n"/>
      <c r="T163" s="156" t="n"/>
      <c r="U163" s="156" t="n"/>
      <c r="V163" s="156" t="n"/>
      <c r="W163" s="156" t="n"/>
      <c r="X163" s="156" t="n"/>
      <c r="Y163" s="156" t="n"/>
      <c r="Z163" s="156" t="n"/>
      <c r="AA163" s="156" t="n"/>
      <c r="AB163" s="156" t="n"/>
      <c r="AC163" s="156" t="n"/>
      <c r="AD163" s="156" t="n"/>
      <c r="AE163" s="156" t="n"/>
      <c r="AF163" s="156" t="n"/>
      <c r="AG163" s="156" t="n"/>
      <c r="AH163" s="142" t="n"/>
      <c r="AI163" s="500" t="n">
        <v>21</v>
      </c>
    </row>
    <row r="164" ht="66.75" customHeight="1" s="757">
      <c r="A164" s="7" t="inlineStr">
        <is>
          <t>AULA</t>
        </is>
      </c>
      <c r="B164" s="8" t="inlineStr">
        <is>
          <t>INICI</t>
        </is>
      </c>
      <c r="C164" s="8" t="inlineStr">
        <is>
          <t>FINAL</t>
        </is>
      </c>
      <c r="D164" s="9" t="n">
        <v>46327</v>
      </c>
      <c r="E164" s="9" t="n">
        <v>46328</v>
      </c>
      <c r="F164" s="9" t="n">
        <v>46329</v>
      </c>
      <c r="G164" s="9" t="n">
        <v>46330</v>
      </c>
      <c r="H164" s="9" t="n">
        <v>46331</v>
      </c>
      <c r="I164" s="9" t="n">
        <v>46332</v>
      </c>
      <c r="J164" s="9" t="n">
        <v>46333</v>
      </c>
      <c r="K164" s="9" t="n">
        <v>46334</v>
      </c>
      <c r="L164" s="9" t="n">
        <v>46335</v>
      </c>
      <c r="M164" s="9" t="n">
        <v>46336</v>
      </c>
      <c r="N164" s="9" t="n">
        <v>46337</v>
      </c>
      <c r="O164" s="9" t="n">
        <v>46338</v>
      </c>
      <c r="P164" s="9" t="n">
        <v>46339</v>
      </c>
      <c r="Q164" s="9" t="n">
        <v>46340</v>
      </c>
      <c r="R164" s="9" t="n">
        <v>46341</v>
      </c>
      <c r="S164" s="9" t="n">
        <v>46342</v>
      </c>
      <c r="T164" s="9" t="n">
        <v>46343</v>
      </c>
      <c r="U164" s="9" t="n">
        <v>46344</v>
      </c>
      <c r="V164" s="9" t="n">
        <v>46345</v>
      </c>
      <c r="W164" s="9" t="n">
        <v>46346</v>
      </c>
      <c r="X164" s="9" t="n">
        <v>46347</v>
      </c>
      <c r="Y164" s="9" t="n">
        <v>46348</v>
      </c>
      <c r="Z164" s="9" t="n">
        <v>46349</v>
      </c>
      <c r="AA164" s="9" t="n">
        <v>46350</v>
      </c>
      <c r="AB164" s="9" t="n">
        <v>46351</v>
      </c>
      <c r="AC164" s="9" t="n">
        <v>46352</v>
      </c>
      <c r="AD164" s="9" t="n">
        <v>46353</v>
      </c>
      <c r="AE164" s="9" t="n">
        <v>46354</v>
      </c>
      <c r="AF164" s="9" t="n">
        <v>46355</v>
      </c>
      <c r="AG164" s="9" t="n">
        <v>46356</v>
      </c>
      <c r="AH164" s="9" t="n"/>
      <c r="AI164" s="4" t="n"/>
      <c r="AN164">
        <f>240+25</f>
        <v/>
      </c>
      <c r="AO164">
        <f>21-15.5</f>
        <v/>
      </c>
      <c r="AP164">
        <f>AN164/AO164</f>
        <v/>
      </c>
    </row>
    <row r="165" ht="15.75" customHeight="1" s="757">
      <c r="A165" s="10" t="inlineStr">
        <is>
          <t>GOOGLE MATINS</t>
        </is>
      </c>
      <c r="B165" s="11" t="n"/>
      <c r="C165" s="11" t="n"/>
      <c r="D165" s="24" t="n"/>
      <c r="E165" s="832" t="n">
        <v>6</v>
      </c>
      <c r="F165" s="832" t="n">
        <v>6</v>
      </c>
      <c r="G165" s="832" t="n">
        <v>6</v>
      </c>
      <c r="H165" s="832" t="n">
        <v>6</v>
      </c>
      <c r="I165" s="832" t="n">
        <v>5</v>
      </c>
      <c r="J165" s="24" t="n"/>
      <c r="K165" s="24" t="n"/>
      <c r="L165" s="832" t="n">
        <v>5</v>
      </c>
      <c r="M165" s="833" t="n">
        <v>6</v>
      </c>
      <c r="N165" s="834" t="n">
        <v>6</v>
      </c>
      <c r="O165" s="834" t="n">
        <v>6</v>
      </c>
      <c r="P165" s="834" t="n">
        <v>6</v>
      </c>
      <c r="Q165" s="24" t="n"/>
      <c r="R165" s="24" t="n"/>
      <c r="S165" s="834" t="n">
        <v>6</v>
      </c>
      <c r="T165" s="834" t="n">
        <v>6</v>
      </c>
      <c r="U165" s="834" t="n">
        <v>6</v>
      </c>
      <c r="V165" s="834" t="n">
        <v>6</v>
      </c>
      <c r="W165" s="834" t="n">
        <v>6</v>
      </c>
      <c r="X165" s="24" t="n"/>
      <c r="Y165" s="24" t="n"/>
      <c r="Z165" s="834" t="n">
        <v>6</v>
      </c>
      <c r="AA165" s="834" t="n">
        <v>6</v>
      </c>
      <c r="AB165" s="834" t="n">
        <v>6</v>
      </c>
      <c r="AC165" s="834" t="n">
        <v>6</v>
      </c>
      <c r="AD165" s="834" t="n">
        <v>6</v>
      </c>
      <c r="AE165" s="24" t="n"/>
      <c r="AF165" s="24" t="n"/>
      <c r="AG165" s="834" t="n">
        <v>6</v>
      </c>
      <c r="AH165" s="756" t="n"/>
      <c r="AI165" s="4" t="n"/>
      <c r="AJ165">
        <f>AJ154+AI163</f>
        <v/>
      </c>
      <c r="AL165" s="835" t="inlineStr">
        <is>
          <t>FCOI25 ACTIC. Seguretat i civisme en l'entorn digital – nivell intermedi [FORMA I CONTRACTE - ATURATS] · PER ASSIGNAR · GOOGLE matí 9:00-15:00 · 30/10–09/11 · 40 h</t>
        </is>
      </c>
      <c r="AU165" s="836" t="inlineStr">
        <is>
          <t>ADGG0208 ACTIVITATS ADMINISTRATIVES EN LA RELACIO AMB EL CLIENT [FORMA I CONTRACTE - ATURATS] · PER ASSIGNAR · GOOGLE matí 9:00-15:00 · 10/11–03/05 · 678 h</t>
        </is>
      </c>
    </row>
    <row r="166" ht="15.75" customHeight="1" s="757">
      <c r="A166" s="10" t="inlineStr">
        <is>
          <t>FIREFOX matí</t>
        </is>
      </c>
      <c r="B166" s="456" t="n"/>
      <c r="C166" s="456" t="n"/>
      <c r="D166" s="119" t="n"/>
      <c r="E166" s="837" t="n">
        <v>6</v>
      </c>
      <c r="F166" s="838" t="n">
        <v>6</v>
      </c>
      <c r="G166" s="838" t="n">
        <v>6</v>
      </c>
      <c r="H166" s="838" t="n">
        <v>6</v>
      </c>
      <c r="I166" s="838" t="n">
        <v>6</v>
      </c>
      <c r="J166" s="24" t="n"/>
      <c r="K166" s="24" t="n"/>
      <c r="L166" s="838" t="n">
        <v>5</v>
      </c>
      <c r="M166" s="838" t="n">
        <v>5</v>
      </c>
      <c r="N166" s="756" t="n"/>
      <c r="O166" s="756" t="n"/>
      <c r="P166" s="756" t="n"/>
      <c r="Q166" s="24" t="n"/>
      <c r="R166" s="24" t="n"/>
      <c r="S166" s="756" t="n"/>
      <c r="T166" s="756" t="n"/>
      <c r="U166" s="756" t="n"/>
      <c r="V166" s="756" t="n"/>
      <c r="W166" s="756" t="n"/>
      <c r="X166" s="24" t="n"/>
      <c r="Y166" s="24" t="n"/>
      <c r="Z166" s="839" t="n">
        <v>6</v>
      </c>
      <c r="AA166" s="840" t="n">
        <v>6</v>
      </c>
      <c r="AB166" s="840" t="n">
        <v>6</v>
      </c>
      <c r="AC166" s="840" t="n">
        <v>6</v>
      </c>
      <c r="AD166" s="840" t="n">
        <v>6</v>
      </c>
      <c r="AE166" s="24" t="n"/>
      <c r="AF166" s="24" t="n"/>
      <c r="AG166" s="840" t="n">
        <v>5</v>
      </c>
      <c r="AH166" s="756" t="n"/>
      <c r="AI166" s="4" t="n"/>
      <c r="AK166" s="774" t="n"/>
      <c r="AL166" s="841" t="inlineStr">
        <is>
          <t>FCOI18 Comunicació i col·laboració amb eines digitals (ACTIC Nivell bàsic) · MARIA · FIREFOX matí 9:00-15:00 · 02/11–10/11 · 40 h</t>
        </is>
      </c>
      <c r="AM166" s="774" t="n"/>
      <c r="AU166" s="842" t="inlineStr">
        <is>
          <t>FCOI15 Creació de continguts digitals (ACTIC Nivell bàsic) · MARIA · FIREFOX matí 9:00-15:00 · 23/11–01/12 · 40 h</t>
        </is>
      </c>
    </row>
    <row r="167" ht="16.5" customHeight="1" s="757" thickBot="1">
      <c r="A167" s="14" t="inlineStr">
        <is>
          <t>COPILOT matí</t>
        </is>
      </c>
      <c r="B167" s="15" t="n"/>
      <c r="C167" s="15" t="n"/>
      <c r="D167" s="35" t="n"/>
      <c r="E167" s="821" t="n">
        <v>6</v>
      </c>
      <c r="F167" s="821" t="n">
        <v>6</v>
      </c>
      <c r="G167" s="821" t="n">
        <v>6</v>
      </c>
      <c r="H167" s="821" t="n">
        <v>6</v>
      </c>
      <c r="I167" s="821" t="n">
        <v>6</v>
      </c>
      <c r="J167" s="35" t="n"/>
      <c r="K167" s="35" t="n"/>
      <c r="L167" s="843" t="n">
        <v>6</v>
      </c>
      <c r="M167" s="844" t="n">
        <v>6</v>
      </c>
      <c r="N167" s="844" t="n">
        <v>6</v>
      </c>
      <c r="O167" s="844" t="n">
        <v>6</v>
      </c>
      <c r="P167" s="844" t="n">
        <v>6</v>
      </c>
      <c r="Q167" s="35" t="n"/>
      <c r="R167" s="35" t="n"/>
      <c r="S167" s="778" t="n"/>
      <c r="T167" s="778" t="n"/>
      <c r="U167" s="778" t="n"/>
      <c r="V167" s="778" t="n"/>
      <c r="W167" s="778" t="n"/>
      <c r="X167" s="35" t="n"/>
      <c r="Y167" s="35" t="n"/>
      <c r="Z167" s="778" t="n"/>
      <c r="AA167" s="778" t="n"/>
      <c r="AB167" s="783" t="n"/>
      <c r="AC167" s="778" t="n"/>
      <c r="AD167" s="778" t="n"/>
      <c r="AE167" s="35" t="n"/>
      <c r="AF167" s="35" t="n"/>
      <c r="AG167" s="778" t="n"/>
      <c r="AH167" s="778" t="n"/>
      <c r="AI167" s="4" t="n"/>
      <c r="AK167" s="775" t="n"/>
      <c r="AL167" s="845" t="inlineStr">
        <is>
          <t>CTRL0040 CTRL0040_2024_Català A1 (Català nivell inicial A1) · PER ASSIGNAR · COPILOT matí 9:00-15:00 · 19/10–06/11 · 90 h</t>
        </is>
      </c>
      <c r="AU167" s="846" t="inlineStr">
        <is>
          <t>COMM0009 Atenció al client · TANIA/? · COPILOT matí 9:00-15:00 · 09/11–13/11 · 30 h</t>
        </is>
      </c>
    </row>
    <row r="168" ht="16.5" customHeight="1" s="757" thickTop="1">
      <c r="A168" s="17" t="inlineStr">
        <is>
          <t>GOOGLE tarda</t>
        </is>
      </c>
      <c r="B168" s="18" t="n"/>
      <c r="C168" s="18" t="n"/>
      <c r="D168" s="39" t="n"/>
      <c r="E168" s="465" t="n">
        <v>22</v>
      </c>
      <c r="F168" s="465" t="n">
        <v>23</v>
      </c>
      <c r="G168" s="465" t="n">
        <v>24</v>
      </c>
      <c r="H168" s="465" t="n">
        <v>25</v>
      </c>
      <c r="I168" s="465" t="n">
        <v>26</v>
      </c>
      <c r="J168" s="24" t="n"/>
      <c r="K168" s="24" t="n"/>
      <c r="L168" s="465" t="n">
        <v>27</v>
      </c>
      <c r="M168" s="462" t="n">
        <v>28</v>
      </c>
      <c r="N168" s="465" t="n">
        <v>29</v>
      </c>
      <c r="O168" s="465" t="n">
        <v>30</v>
      </c>
      <c r="P168" s="465" t="n">
        <v>31</v>
      </c>
      <c r="Q168" s="24" t="n"/>
      <c r="R168" s="24" t="n"/>
      <c r="S168" s="465" t="n">
        <v>32</v>
      </c>
      <c r="T168" s="465" t="n">
        <v>33</v>
      </c>
      <c r="U168" s="465" t="n">
        <v>34</v>
      </c>
      <c r="V168" s="465" t="n">
        <v>35</v>
      </c>
      <c r="W168" s="465" t="n">
        <v>36</v>
      </c>
      <c r="X168" s="24" t="n"/>
      <c r="Y168" s="24" t="n"/>
      <c r="Z168" s="465" t="n">
        <v>37</v>
      </c>
      <c r="AA168" s="462" t="n">
        <v>38</v>
      </c>
      <c r="AB168" s="465" t="n">
        <v>39</v>
      </c>
      <c r="AC168" s="465" t="n">
        <v>40</v>
      </c>
      <c r="AD168" s="465" t="n">
        <v>41</v>
      </c>
      <c r="AE168" s="24" t="n"/>
      <c r="AF168" s="24" t="n"/>
      <c r="AG168" s="465" t="n">
        <v>42</v>
      </c>
      <c r="AH168" s="756" t="n"/>
      <c r="AI168" s="4" t="n"/>
      <c r="AJ168">
        <f>AJ157+AI163</f>
        <v/>
      </c>
      <c r="AK168" s="462" t="inlineStr">
        <is>
          <t>FRONT 15:30-21H</t>
        </is>
      </c>
      <c r="AL168" s="462" t="n"/>
      <c r="AM168" s="462" t="n"/>
    </row>
    <row r="169" ht="15.75" customHeight="1" s="757">
      <c r="A169" s="10" t="inlineStr">
        <is>
          <t>FIREFOX tarda</t>
        </is>
      </c>
      <c r="B169" s="11" t="n"/>
      <c r="C169" s="11" t="n"/>
      <c r="D169" s="24" t="n"/>
      <c r="E169" s="826" t="n">
        <v>6</v>
      </c>
      <c r="F169" s="826" t="n">
        <v>6</v>
      </c>
      <c r="G169" s="826" t="n">
        <v>6</v>
      </c>
      <c r="H169" s="826" t="n">
        <v>6</v>
      </c>
      <c r="I169" s="826" t="n">
        <v>6</v>
      </c>
      <c r="J169" s="24" t="n"/>
      <c r="K169" s="24" t="n"/>
      <c r="L169" s="826" t="n">
        <v>6</v>
      </c>
      <c r="M169" s="826" t="n">
        <v>6</v>
      </c>
      <c r="N169" s="826" t="n">
        <v>6</v>
      </c>
      <c r="O169" s="826" t="n">
        <v>6</v>
      </c>
      <c r="P169" s="826" t="n">
        <v>6</v>
      </c>
      <c r="Q169" s="24" t="n"/>
      <c r="R169" s="24" t="n"/>
      <c r="S169" s="826" t="n">
        <v>6</v>
      </c>
      <c r="T169" s="826" t="n">
        <v>6</v>
      </c>
      <c r="U169" s="826" t="n">
        <v>6</v>
      </c>
      <c r="V169" s="826" t="n">
        <v>6</v>
      </c>
      <c r="W169" s="826" t="n">
        <v>6</v>
      </c>
      <c r="X169" s="24" t="n"/>
      <c r="Y169" s="24" t="n"/>
      <c r="Z169" s="826" t="n">
        <v>6</v>
      </c>
      <c r="AA169" s="826" t="n">
        <v>6</v>
      </c>
      <c r="AB169" s="826" t="n">
        <v>6</v>
      </c>
      <c r="AC169" s="826" t="n">
        <v>6</v>
      </c>
      <c r="AD169" s="826" t="n">
        <v>6</v>
      </c>
      <c r="AE169" s="24" t="n"/>
      <c r="AF169" s="24" t="n"/>
      <c r="AG169" s="826" t="n">
        <v>6</v>
      </c>
      <c r="AH169" s="756" t="n"/>
      <c r="AL169" s="847" t="inlineStr">
        <is>
          <t>ADGG0208 ACTIVITATS ADMINISTRATIVES EN LA RELACIO AMB EL CLIENT [CFCC - TREBALLADORS] · PER ASSIGNAR · FIREFOX tarda 15:00-21:00 · 26/10–16/04 · 678 h</t>
        </is>
      </c>
    </row>
    <row r="170" ht="16.5" customHeight="1" s="757" thickBot="1">
      <c r="A170" s="14" t="inlineStr">
        <is>
          <t>COPILOT tarda</t>
        </is>
      </c>
      <c r="B170" s="15" t="n"/>
      <c r="C170" s="15" t="n"/>
      <c r="D170" s="35" t="n"/>
      <c r="E170" s="778" t="n"/>
      <c r="F170" s="778" t="n"/>
      <c r="G170" s="778" t="n"/>
      <c r="H170" s="778" t="n"/>
      <c r="I170" s="778" t="n"/>
      <c r="J170" s="35" t="n"/>
      <c r="K170" s="35" t="n"/>
      <c r="L170" s="778" t="n"/>
      <c r="M170" s="778" t="n"/>
      <c r="N170" s="778" t="n"/>
      <c r="O170" s="778" t="n"/>
      <c r="P170" s="778" t="n"/>
      <c r="Q170" s="35" t="n"/>
      <c r="R170" s="35" t="n"/>
      <c r="S170" s="848" t="n">
        <v>5</v>
      </c>
      <c r="T170" s="849" t="n">
        <v>5</v>
      </c>
      <c r="U170" s="849" t="n">
        <v>5</v>
      </c>
      <c r="V170" s="849" t="n">
        <v>5</v>
      </c>
      <c r="W170" s="778" t="n"/>
      <c r="X170" s="35" t="n"/>
      <c r="Y170" s="35" t="n"/>
      <c r="Z170" s="778" t="n"/>
      <c r="AA170" s="778" t="n"/>
      <c r="AB170" s="778" t="n"/>
      <c r="AC170" s="778" t="n"/>
      <c r="AD170" s="778" t="n"/>
      <c r="AE170" s="35" t="n"/>
      <c r="AF170" s="35" t="n"/>
      <c r="AG170" s="778" t="n"/>
      <c r="AH170" s="778" t="n"/>
      <c r="AL170" s="850" t="inlineStr">
        <is>
          <t>SANP0011 Tècniques de massatge (1a ed.) · ESTHER · COPILOT tarda 15:00-20:00 · 16/11–19/11 · 20 h</t>
        </is>
      </c>
    </row>
    <row r="171" ht="16.5" customHeight="1" s="757" thickTop="1">
      <c r="A171" s="10" t="inlineStr">
        <is>
          <t>TARRAGONA matí</t>
        </is>
      </c>
      <c r="B171" s="11" t="n"/>
      <c r="C171" s="11" t="n"/>
      <c r="D171" s="24" t="n"/>
      <c r="E171" s="51" t="inlineStr">
        <is>
          <t>T IA 6ª</t>
        </is>
      </c>
      <c r="F171" s="755" t="n"/>
      <c r="G171" s="755" t="n"/>
      <c r="H171" s="755" t="n"/>
      <c r="I171" s="755" t="n"/>
      <c r="J171" s="39" t="n"/>
      <c r="K171" s="39" t="n"/>
      <c r="L171" s="755" t="n"/>
      <c r="M171" s="755" t="n"/>
      <c r="N171" s="755" t="n"/>
      <c r="O171" s="755" t="n"/>
      <c r="P171" s="755" t="n"/>
      <c r="Q171" s="39" t="n"/>
      <c r="R171" s="39" t="n"/>
      <c r="S171" s="755" t="n"/>
      <c r="T171" s="755" t="n"/>
      <c r="U171" s="755" t="n"/>
      <c r="V171" s="755" t="n"/>
      <c r="W171" s="755" t="n"/>
      <c r="X171" s="39" t="n"/>
      <c r="Y171" s="39" t="n"/>
      <c r="Z171" s="755" t="n"/>
      <c r="AA171" s="755" t="n"/>
      <c r="AB171" s="755" t="n"/>
      <c r="AC171" s="755" t="n"/>
      <c r="AD171" s="755" t="n"/>
      <c r="AE171" s="39" t="n"/>
      <c r="AF171" s="39" t="n"/>
      <c r="AG171" s="755" t="n"/>
      <c r="AH171" s="755" t="n"/>
    </row>
    <row r="172"/>
    <row r="173" ht="21.75" customHeight="1" s="757" thickBot="1">
      <c r="A173" s="805" t="inlineStr">
        <is>
          <t>DESEMBRE 2026</t>
        </is>
      </c>
      <c r="B173" s="156" t="n"/>
      <c r="C173" s="156" t="n"/>
      <c r="D173" s="156" t="n"/>
      <c r="E173" s="156" t="n"/>
      <c r="F173" s="156" t="n"/>
      <c r="G173" s="156" t="n"/>
      <c r="H173" s="156" t="n"/>
      <c r="I173" s="156" t="n"/>
      <c r="J173" s="156" t="n"/>
      <c r="K173" s="156" t="n"/>
      <c r="L173" s="156" t="n"/>
      <c r="M173" s="156" t="n"/>
      <c r="N173" s="156" t="n"/>
      <c r="O173" s="156" t="n"/>
      <c r="P173" s="156" t="n"/>
      <c r="Q173" s="156" t="n"/>
      <c r="R173" s="156" t="n"/>
      <c r="S173" s="156" t="n"/>
      <c r="T173" s="156" t="n"/>
      <c r="U173" s="156" t="n"/>
      <c r="V173" s="156" t="n"/>
      <c r="W173" s="156" t="n"/>
      <c r="X173" s="156" t="n"/>
      <c r="Y173" s="156" t="n"/>
      <c r="Z173" s="156" t="n"/>
      <c r="AA173" s="156" t="n"/>
      <c r="AB173" s="156" t="n"/>
      <c r="AC173" s="156" t="n"/>
      <c r="AD173" s="156" t="n"/>
      <c r="AE173" s="156" t="n"/>
      <c r="AF173" s="156" t="n"/>
      <c r="AG173" s="156" t="n"/>
      <c r="AH173" s="142" t="n"/>
      <c r="AI173" s="500" t="n">
        <v>15</v>
      </c>
    </row>
    <row r="174" ht="66.75" customHeight="1" s="757">
      <c r="A174" s="7" t="inlineStr">
        <is>
          <t>AULA</t>
        </is>
      </c>
      <c r="B174" s="8" t="inlineStr">
        <is>
          <t>INICI</t>
        </is>
      </c>
      <c r="C174" s="8" t="inlineStr">
        <is>
          <t>FINAL</t>
        </is>
      </c>
      <c r="D174" s="9" t="n">
        <v>46357</v>
      </c>
      <c r="E174" s="9" t="n">
        <v>46358</v>
      </c>
      <c r="F174" s="9" t="n">
        <v>46359</v>
      </c>
      <c r="G174" s="9" t="n">
        <v>46360</v>
      </c>
      <c r="H174" s="9" t="n">
        <v>46361</v>
      </c>
      <c r="I174" s="9" t="n">
        <v>46362</v>
      </c>
      <c r="J174" s="9" t="n">
        <v>46363</v>
      </c>
      <c r="K174" s="9" t="n">
        <v>46364</v>
      </c>
      <c r="L174" s="9" t="n">
        <v>46365</v>
      </c>
      <c r="M174" s="9" t="n">
        <v>46366</v>
      </c>
      <c r="N174" s="9" t="n">
        <v>46367</v>
      </c>
      <c r="O174" s="9" t="n">
        <v>46368</v>
      </c>
      <c r="P174" s="9" t="n">
        <v>46369</v>
      </c>
      <c r="Q174" s="9" t="n">
        <v>46370</v>
      </c>
      <c r="R174" s="9" t="n">
        <v>46371</v>
      </c>
      <c r="S174" s="9" t="n">
        <v>46372</v>
      </c>
      <c r="T174" s="9" t="n">
        <v>46373</v>
      </c>
      <c r="U174" s="9" t="n">
        <v>46374</v>
      </c>
      <c r="V174" s="9" t="n">
        <v>46375</v>
      </c>
      <c r="W174" s="9" t="n">
        <v>46376</v>
      </c>
      <c r="X174" s="9" t="n">
        <v>46377</v>
      </c>
      <c r="Y174" s="9" t="n">
        <v>46378</v>
      </c>
      <c r="Z174" s="9" t="n">
        <v>46379</v>
      </c>
      <c r="AA174" s="9" t="n">
        <v>46380</v>
      </c>
      <c r="AB174" s="9" t="n">
        <v>46381</v>
      </c>
      <c r="AC174" s="9" t="n">
        <v>46382</v>
      </c>
      <c r="AD174" s="9" t="n">
        <v>46383</v>
      </c>
      <c r="AE174" s="9" t="n">
        <v>46384</v>
      </c>
      <c r="AF174" s="9" t="n">
        <v>46385</v>
      </c>
      <c r="AG174" s="9" t="n">
        <v>46386</v>
      </c>
      <c r="AH174" s="9" t="n">
        <v>46387</v>
      </c>
      <c r="AI174" s="4" t="n"/>
    </row>
    <row r="175" ht="15.75" customHeight="1" s="757">
      <c r="A175" s="10" t="inlineStr">
        <is>
          <t>GOOGLE MATINS</t>
        </is>
      </c>
      <c r="B175" s="11" t="n"/>
      <c r="C175" s="11" t="n"/>
      <c r="D175" s="834" t="n">
        <v>6</v>
      </c>
      <c r="E175" s="834" t="n">
        <v>6</v>
      </c>
      <c r="F175" s="834" t="n">
        <v>6</v>
      </c>
      <c r="G175" s="834" t="n">
        <v>6</v>
      </c>
      <c r="H175" s="24" t="n"/>
      <c r="I175" s="24" t="n"/>
      <c r="J175" s="26" t="n"/>
      <c r="K175" s="26" t="n"/>
      <c r="L175" s="834" t="n">
        <v>6</v>
      </c>
      <c r="M175" s="834" t="n">
        <v>6</v>
      </c>
      <c r="N175" s="834" t="n">
        <v>6</v>
      </c>
      <c r="O175" s="24" t="n"/>
      <c r="P175" s="24" t="n"/>
      <c r="Q175" s="834" t="n">
        <v>6</v>
      </c>
      <c r="R175" s="834" t="n">
        <v>6</v>
      </c>
      <c r="S175" s="834" t="n">
        <v>6</v>
      </c>
      <c r="T175" s="834" t="n">
        <v>6</v>
      </c>
      <c r="U175" s="834" t="n">
        <v>6</v>
      </c>
      <c r="V175" s="24" t="n"/>
      <c r="W175" s="24" t="n"/>
      <c r="X175" s="834" t="n">
        <v>6</v>
      </c>
      <c r="Y175" s="834" t="n">
        <v>6</v>
      </c>
      <c r="Z175" s="834" t="n">
        <v>6</v>
      </c>
      <c r="AA175" s="63" t="n"/>
      <c r="AB175" s="26" t="n"/>
      <c r="AC175" s="26" t="n"/>
      <c r="AD175" s="24" t="n"/>
      <c r="AE175" s="63" t="n"/>
      <c r="AF175" s="63" t="n"/>
      <c r="AG175" s="63" t="n"/>
      <c r="AH175" s="63" t="n"/>
      <c r="AI175" s="4" t="n"/>
      <c r="AJ175">
        <f>AI173+AJ165</f>
        <v/>
      </c>
      <c r="AK175" s="627" t="n"/>
      <c r="AL175" s="851" t="inlineStr">
        <is>
          <t>ADGG0208 ACTIVITATS ADMINISTRATIVES EN LA RELACIO AMB EL CLIENT [FORMA I CONTRACTE - ATURATS] · PER ASSIGNAR · GOOGLE matí 9:00-15:00 · 10/11–03/05 · 678 h</t>
        </is>
      </c>
      <c r="AM175" s="774" t="n"/>
    </row>
    <row r="176" ht="15.75" customHeight="1" s="757">
      <c r="A176" s="10" t="inlineStr">
        <is>
          <t>FIREFOX matí</t>
        </is>
      </c>
      <c r="B176" s="456" t="n"/>
      <c r="C176" s="456" t="n"/>
      <c r="D176" s="852" t="n">
        <v>5</v>
      </c>
      <c r="E176" s="756" t="n"/>
      <c r="F176" s="756" t="n"/>
      <c r="G176" s="756" t="n"/>
      <c r="H176" s="24" t="n"/>
      <c r="I176" s="24" t="n"/>
      <c r="J176" s="26" t="n"/>
      <c r="K176" s="26" t="n"/>
      <c r="L176" s="756" t="n"/>
      <c r="M176" s="756" t="n"/>
      <c r="N176" s="756" t="n"/>
      <c r="O176" s="24" t="n"/>
      <c r="P176" s="24" t="n"/>
      <c r="Q176" s="756" t="n"/>
      <c r="R176" s="756" t="n"/>
      <c r="S176" s="756" t="n"/>
      <c r="T176" s="756" t="n"/>
      <c r="U176" s="756" t="n"/>
      <c r="V176" s="24" t="n"/>
      <c r="W176" s="24" t="n"/>
      <c r="X176" s="756" t="n"/>
      <c r="Y176" s="756" t="n"/>
      <c r="Z176" s="756" t="n"/>
      <c r="AA176" s="63" t="n"/>
      <c r="AB176" s="26" t="n"/>
      <c r="AC176" s="26" t="n"/>
      <c r="AD176" s="24" t="n"/>
      <c r="AE176" s="63" t="n"/>
      <c r="AF176" s="63" t="n"/>
      <c r="AG176" s="63" t="n"/>
      <c r="AH176" s="63" t="n"/>
      <c r="AI176" s="4" t="n"/>
      <c r="AK176" s="774" t="n"/>
      <c r="AL176" s="853" t="inlineStr">
        <is>
          <t>FCOI15 Creació de continguts digitals (ACTIC Nivell bàsic) · MARIA · FIREFOX matí 9:00-15:00 · 23/11–01/12 · 40 h</t>
        </is>
      </c>
      <c r="AM176" s="774" t="n"/>
    </row>
    <row r="177" ht="19.5" customHeight="1" s="757" thickBot="1">
      <c r="A177" s="14" t="inlineStr">
        <is>
          <t>COPILOT matí</t>
        </is>
      </c>
      <c r="B177" s="15" t="n"/>
      <c r="C177" s="15" t="n"/>
      <c r="D177" s="783" t="n"/>
      <c r="E177" s="783" t="n"/>
      <c r="F177" s="778" t="n"/>
      <c r="G177" s="778" t="n"/>
      <c r="H177" s="35" t="n"/>
      <c r="I177" s="35" t="n"/>
      <c r="J177" s="27" t="n"/>
      <c r="K177" s="27" t="n"/>
      <c r="L177" s="778" t="n"/>
      <c r="M177" s="778" t="n"/>
      <c r="N177" s="778" t="n"/>
      <c r="O177" s="35" t="n"/>
      <c r="P177" s="35" t="n"/>
      <c r="Q177" s="778" t="n"/>
      <c r="R177" s="778" t="n"/>
      <c r="S177" s="778" t="n"/>
      <c r="T177" s="778" t="n"/>
      <c r="U177" s="778" t="n"/>
      <c r="V177" s="35" t="n"/>
      <c r="W177" s="35" t="n"/>
      <c r="X177" s="778" t="n"/>
      <c r="Y177" s="778" t="n"/>
      <c r="Z177" s="778" t="n"/>
      <c r="AA177" s="64" t="n"/>
      <c r="AB177" s="27" t="n"/>
      <c r="AC177" s="27" t="n"/>
      <c r="AD177" s="35" t="n"/>
      <c r="AE177" s="64" t="n"/>
      <c r="AF177" s="64" t="n"/>
      <c r="AG177" s="64" t="n"/>
      <c r="AH177" s="64" t="n"/>
      <c r="AI177" s="4" t="n"/>
      <c r="AJ177" s="428" t="n"/>
      <c r="AK177" s="775" t="n"/>
    </row>
    <row r="178" ht="16.5" customHeight="1" s="757" thickTop="1">
      <c r="A178" s="17" t="inlineStr">
        <is>
          <t>GOOGLE tarda</t>
        </is>
      </c>
      <c r="B178" s="18" t="n"/>
      <c r="C178" s="18" t="n"/>
      <c r="D178" s="476" t="inlineStr">
        <is>
          <t>43 FRONT 15:00 H A 21:30 H</t>
        </is>
      </c>
      <c r="E178" s="756" t="n"/>
      <c r="F178" s="756" t="n"/>
      <c r="G178" s="756" t="n"/>
      <c r="H178" s="24" t="n"/>
      <c r="I178" s="24" t="n"/>
      <c r="J178" s="26" t="n"/>
      <c r="K178" s="26" t="n"/>
      <c r="L178" s="756" t="n"/>
      <c r="M178" s="756" t="n"/>
      <c r="N178" s="756" t="n"/>
      <c r="O178" s="24" t="n"/>
      <c r="P178" s="24" t="n"/>
      <c r="Q178" s="756" t="n"/>
      <c r="R178" s="756" t="n"/>
      <c r="S178" s="756" t="n"/>
      <c r="T178" s="756" t="n"/>
      <c r="U178" s="756" t="n"/>
      <c r="V178" s="24" t="n"/>
      <c r="W178" s="24" t="n"/>
      <c r="X178" s="756" t="n"/>
      <c r="Y178" s="756" t="n"/>
      <c r="Z178" s="756" t="n"/>
      <c r="AA178" s="63" t="n"/>
      <c r="AB178" s="26" t="n"/>
      <c r="AC178" s="26" t="n"/>
      <c r="AD178" s="24" t="n"/>
      <c r="AE178" s="63" t="n"/>
      <c r="AF178" s="63" t="n"/>
      <c r="AG178" s="63" t="n"/>
      <c r="AH178" s="63" t="n"/>
      <c r="AI178" s="4" t="n"/>
      <c r="AJ178">
        <f>AJ168+1</f>
        <v/>
      </c>
      <c r="AK178" s="462" t="inlineStr">
        <is>
          <t>FRONT + IA</t>
        </is>
      </c>
      <c r="AL178" s="462" t="n"/>
      <c r="AM178" s="462" t="inlineStr">
        <is>
          <t>1 HORA EXTRA 15:00 A 21:30</t>
        </is>
      </c>
      <c r="AN178" s="462" t="n"/>
      <c r="AO178" s="462" t="n"/>
      <c r="AP178" s="462" t="n"/>
    </row>
    <row r="179" ht="15.75" customHeight="1" s="757">
      <c r="A179" s="10" t="inlineStr">
        <is>
          <t>FIREFOX tarda</t>
        </is>
      </c>
      <c r="B179" s="11" t="n"/>
      <c r="C179" s="11" t="n"/>
      <c r="D179" s="826" t="n">
        <v>6</v>
      </c>
      <c r="E179" s="826" t="n">
        <v>6</v>
      </c>
      <c r="F179" s="826" t="n">
        <v>6</v>
      </c>
      <c r="G179" s="826" t="n">
        <v>6</v>
      </c>
      <c r="H179" s="24" t="n"/>
      <c r="I179" s="24" t="n"/>
      <c r="J179" s="26" t="n"/>
      <c r="K179" s="26" t="n"/>
      <c r="L179" s="826" t="n">
        <v>6</v>
      </c>
      <c r="M179" s="826" t="n">
        <v>6</v>
      </c>
      <c r="N179" s="826" t="n">
        <v>6</v>
      </c>
      <c r="O179" s="24" t="n"/>
      <c r="P179" s="24" t="n"/>
      <c r="Q179" s="826" t="n">
        <v>6</v>
      </c>
      <c r="R179" s="826" t="n">
        <v>6</v>
      </c>
      <c r="S179" s="826" t="n">
        <v>6</v>
      </c>
      <c r="T179" s="826" t="n">
        <v>6</v>
      </c>
      <c r="U179" s="826" t="n">
        <v>6</v>
      </c>
      <c r="V179" s="24" t="n"/>
      <c r="W179" s="24" t="n"/>
      <c r="X179" s="826" t="n">
        <v>6</v>
      </c>
      <c r="Y179" s="826" t="n">
        <v>6</v>
      </c>
      <c r="Z179" s="826" t="n">
        <v>6</v>
      </c>
      <c r="AA179" s="63" t="n"/>
      <c r="AB179" s="26" t="n"/>
      <c r="AC179" s="26" t="n"/>
      <c r="AD179" s="24" t="n"/>
      <c r="AE179" s="63" t="n"/>
      <c r="AF179" s="63" t="n"/>
      <c r="AG179" s="63" t="n"/>
      <c r="AH179" s="63" t="n"/>
      <c r="AL179" s="847" t="inlineStr">
        <is>
          <t>ADGG0208 ACTIVITATS ADMINISTRATIVES EN LA RELACIO AMB EL CLIENT [CFCC - TREBALLADORS] · PER ASSIGNAR · FIREFOX tarda 15:00-21:00 · 26/10–16/04 · 678 h</t>
        </is>
      </c>
    </row>
    <row r="180" ht="16.5" customHeight="1" s="757" thickBot="1">
      <c r="A180" s="14" t="inlineStr">
        <is>
          <t>COPILOT tarda</t>
        </is>
      </c>
      <c r="B180" s="15" t="n"/>
      <c r="C180" s="15" t="n"/>
      <c r="D180" s="778" t="n"/>
      <c r="E180" s="778" t="n"/>
      <c r="F180" s="778" t="n"/>
      <c r="G180" s="778" t="n"/>
      <c r="H180" s="35" t="n"/>
      <c r="I180" s="35" t="n"/>
      <c r="J180" s="27" t="n"/>
      <c r="K180" s="27" t="n"/>
      <c r="L180" s="778" t="n"/>
      <c r="M180" s="778" t="n"/>
      <c r="N180" s="778" t="n"/>
      <c r="O180" s="35" t="n"/>
      <c r="P180" s="35" t="n"/>
      <c r="Q180" s="778" t="n"/>
      <c r="R180" s="778" t="n"/>
      <c r="S180" s="778" t="n"/>
      <c r="T180" s="778" t="n"/>
      <c r="U180" s="778" t="n"/>
      <c r="V180" s="35" t="n"/>
      <c r="W180" s="35" t="n"/>
      <c r="X180" s="778" t="n"/>
      <c r="Y180" s="778" t="n"/>
      <c r="Z180" s="778" t="n"/>
      <c r="AA180" s="64" t="n"/>
      <c r="AB180" s="27" t="n"/>
      <c r="AC180" s="27" t="n"/>
      <c r="AD180" s="35" t="n"/>
      <c r="AE180" s="64" t="n"/>
      <c r="AF180" s="64" t="n"/>
      <c r="AG180" s="64" t="n"/>
      <c r="AH180" s="64" t="n"/>
    </row>
    <row r="181" ht="16.5" customHeight="1" s="757" thickTop="1">
      <c r="A181" s="10" t="inlineStr">
        <is>
          <t>TARRAGONA matí</t>
        </is>
      </c>
      <c r="B181" s="11" t="n"/>
      <c r="C181" s="11" t="n"/>
      <c r="D181" s="756" t="n"/>
      <c r="E181" s="755" t="n"/>
      <c r="F181" s="755" t="n"/>
      <c r="G181" s="755" t="n"/>
      <c r="H181" s="39" t="n"/>
      <c r="I181" s="39" t="n"/>
      <c r="J181" s="28" t="n"/>
      <c r="K181" s="28" t="n"/>
      <c r="L181" s="755" t="n"/>
      <c r="M181" s="755" t="n"/>
      <c r="N181" s="755" t="n"/>
      <c r="O181" s="39" t="n"/>
      <c r="P181" s="39" t="n"/>
      <c r="Q181" s="755" t="n"/>
      <c r="R181" s="755" t="n"/>
      <c r="S181" s="755" t="n"/>
      <c r="T181" s="755" t="n"/>
      <c r="U181" s="755" t="n"/>
      <c r="V181" s="39" t="n"/>
      <c r="W181" s="39" t="n"/>
      <c r="X181" s="755" t="n"/>
      <c r="Y181" s="755" t="n"/>
      <c r="Z181" s="755" t="n"/>
      <c r="AA181" s="65" t="n"/>
      <c r="AB181" s="28" t="n"/>
      <c r="AC181" s="28" t="n"/>
      <c r="AD181" s="39" t="n"/>
      <c r="AE181" s="65" t="n"/>
      <c r="AF181" s="65" t="n"/>
      <c r="AG181" s="65" t="n"/>
      <c r="AH181" s="65" t="n"/>
    </row>
    <row r="182"/>
    <row r="183"/>
    <row r="184"/>
    <row r="185" ht="21.75" customHeight="1" s="757" thickBot="1">
      <c r="A185" s="854" t="inlineStr">
        <is>
          <t>GENER 2027</t>
        </is>
      </c>
      <c r="B185" s="156" t="n"/>
      <c r="C185" s="156" t="n"/>
      <c r="D185" s="156" t="n"/>
      <c r="E185" s="156" t="n"/>
      <c r="F185" s="156" t="n"/>
      <c r="G185" s="156" t="n"/>
      <c r="H185" s="156" t="n"/>
      <c r="I185" s="156" t="n"/>
      <c r="J185" s="156" t="n"/>
      <c r="K185" s="156" t="n"/>
      <c r="L185" s="156" t="n"/>
      <c r="M185" s="156" t="n"/>
      <c r="N185" s="156" t="n"/>
      <c r="O185" s="156" t="n"/>
      <c r="P185" s="156" t="n"/>
      <c r="Q185" s="156" t="n"/>
      <c r="R185" s="156" t="n"/>
      <c r="S185" s="156" t="n"/>
      <c r="T185" s="156" t="n"/>
      <c r="U185" s="156" t="n"/>
      <c r="V185" s="156" t="n"/>
      <c r="W185" s="156" t="n"/>
      <c r="X185" s="156" t="n"/>
      <c r="Y185" s="156" t="n"/>
      <c r="Z185" s="156" t="n"/>
      <c r="AA185" s="156" t="n"/>
      <c r="AB185" s="156" t="n"/>
      <c r="AC185" s="156" t="n"/>
      <c r="AD185" s="156" t="n"/>
      <c r="AE185" s="156" t="n"/>
      <c r="AF185" s="156" t="n"/>
      <c r="AG185" s="156" t="n"/>
      <c r="AH185" s="142" t="n"/>
      <c r="AI185" s="500" t="n">
        <v>19</v>
      </c>
    </row>
    <row r="186" ht="66.75" customHeight="1" s="757">
      <c r="A186" s="7" t="inlineStr">
        <is>
          <t>AULA</t>
        </is>
      </c>
      <c r="B186" s="8" t="inlineStr">
        <is>
          <t>INICI</t>
        </is>
      </c>
      <c r="C186" s="8" t="inlineStr">
        <is>
          <t>FINAL</t>
        </is>
      </c>
      <c r="D186" s="9" t="n">
        <v>46388</v>
      </c>
      <c r="E186" s="9" t="n">
        <v>46389</v>
      </c>
      <c r="F186" s="9" t="n">
        <v>46390</v>
      </c>
      <c r="G186" s="9" t="n">
        <v>46391</v>
      </c>
      <c r="H186" s="9" t="n">
        <v>46392</v>
      </c>
      <c r="I186" s="9" t="n">
        <v>46393</v>
      </c>
      <c r="J186" s="9" t="n">
        <v>46394</v>
      </c>
      <c r="K186" s="9" t="n">
        <v>46395</v>
      </c>
      <c r="L186" s="9" t="n">
        <v>46396</v>
      </c>
      <c r="M186" s="9" t="n">
        <v>46397</v>
      </c>
      <c r="N186" s="9" t="n">
        <v>46398</v>
      </c>
      <c r="O186" s="9" t="n">
        <v>46399</v>
      </c>
      <c r="P186" s="9" t="n">
        <v>46400</v>
      </c>
      <c r="Q186" s="9" t="n">
        <v>46401</v>
      </c>
      <c r="R186" s="9" t="n">
        <v>46402</v>
      </c>
      <c r="S186" s="9" t="n">
        <v>46403</v>
      </c>
      <c r="T186" s="9" t="n">
        <v>46404</v>
      </c>
      <c r="U186" s="9" t="n">
        <v>46405</v>
      </c>
      <c r="V186" s="9" t="n">
        <v>46406</v>
      </c>
      <c r="W186" s="9" t="n">
        <v>46407</v>
      </c>
      <c r="X186" s="9" t="n">
        <v>46408</v>
      </c>
      <c r="Y186" s="9" t="n">
        <v>46409</v>
      </c>
      <c r="Z186" s="9" t="n">
        <v>46410</v>
      </c>
      <c r="AA186" s="9" t="n">
        <v>46411</v>
      </c>
      <c r="AB186" s="9" t="n">
        <v>46412</v>
      </c>
      <c r="AC186" s="9" t="n">
        <v>46413</v>
      </c>
      <c r="AD186" s="9" t="n">
        <v>46414</v>
      </c>
      <c r="AE186" s="9" t="n">
        <v>46415</v>
      </c>
      <c r="AF186" s="9" t="n">
        <v>46416</v>
      </c>
      <c r="AG186" s="9" t="n">
        <v>46417</v>
      </c>
      <c r="AH186" s="9" t="n">
        <v>46418</v>
      </c>
      <c r="AI186" s="4" t="n"/>
    </row>
    <row r="187" ht="15.75" customHeight="1" s="757">
      <c r="A187" s="10" t="inlineStr">
        <is>
          <t>GOOGLE MATINS</t>
        </is>
      </c>
      <c r="B187" s="11" t="n"/>
      <c r="C187" s="11" t="n"/>
      <c r="D187" s="26" t="n"/>
      <c r="E187" s="24" t="n"/>
      <c r="F187" s="24" t="n"/>
      <c r="G187" s="834" t="n">
        <v>6</v>
      </c>
      <c r="H187" s="834" t="n">
        <v>6</v>
      </c>
      <c r="I187" s="610" t="n"/>
      <c r="J187" s="834" t="n">
        <v>6</v>
      </c>
      <c r="K187" s="834" t="n">
        <v>6</v>
      </c>
      <c r="L187" s="24" t="n"/>
      <c r="M187" s="24" t="n"/>
      <c r="N187" s="834" t="n">
        <v>6</v>
      </c>
      <c r="O187" s="834" t="n">
        <v>6</v>
      </c>
      <c r="P187" s="834" t="n">
        <v>6</v>
      </c>
      <c r="Q187" s="834" t="n">
        <v>6</v>
      </c>
      <c r="R187" s="834" t="n">
        <v>6</v>
      </c>
      <c r="S187" s="24" t="n"/>
      <c r="T187" s="24" t="n"/>
      <c r="U187" s="834" t="n">
        <v>6</v>
      </c>
      <c r="V187" s="834" t="n">
        <v>6</v>
      </c>
      <c r="W187" s="834" t="n">
        <v>6</v>
      </c>
      <c r="X187" s="834" t="n">
        <v>6</v>
      </c>
      <c r="Y187" s="834" t="n">
        <v>6</v>
      </c>
      <c r="Z187" s="24" t="n"/>
      <c r="AA187" s="24" t="n"/>
      <c r="AB187" s="834" t="n">
        <v>6</v>
      </c>
      <c r="AC187" s="834" t="n">
        <v>6</v>
      </c>
      <c r="AD187" s="834" t="n">
        <v>6</v>
      </c>
      <c r="AE187" s="834" t="n">
        <v>6</v>
      </c>
      <c r="AF187" s="834" t="n">
        <v>6</v>
      </c>
      <c r="AG187" s="24" t="n"/>
      <c r="AH187" s="24" t="n"/>
      <c r="AI187" s="4" t="n"/>
      <c r="AK187" s="627" t="n"/>
      <c r="AL187" s="851" t="inlineStr">
        <is>
          <t>ADGG0208 ACTIVITATS ADMINISTRATIVES EN LA RELACIO AMB EL CLIENT [FORMA I CONTRACTE - ATURATS] · PER ASSIGNAR · GOOGLE matí 9:00-15:00 · 10/11–03/05 · 678 h</t>
        </is>
      </c>
    </row>
    <row r="188" ht="15.75" customHeight="1" s="757">
      <c r="A188" s="10" t="inlineStr">
        <is>
          <t>FIREFOX matí</t>
        </is>
      </c>
      <c r="B188" s="456" t="n"/>
      <c r="C188" s="456" t="n"/>
      <c r="D188" s="218" t="n"/>
      <c r="E188" s="24" t="n"/>
      <c r="F188" s="24" t="n"/>
      <c r="G188" s="756" t="n"/>
      <c r="H188" s="756" t="n"/>
      <c r="I188" s="610" t="n"/>
      <c r="J188" s="756" t="n"/>
      <c r="K188" s="756" t="n"/>
      <c r="L188" s="24" t="n"/>
      <c r="M188" s="24" t="n"/>
      <c r="N188" s="855" t="n">
        <v>5</v>
      </c>
      <c r="O188" s="856" t="n">
        <v>5</v>
      </c>
      <c r="P188" s="856" t="n">
        <v>5</v>
      </c>
      <c r="Q188" s="856" t="n">
        <v>5</v>
      </c>
      <c r="R188" s="856" t="n">
        <v>5</v>
      </c>
      <c r="S188" s="24" t="n"/>
      <c r="T188" s="24" t="n"/>
      <c r="U188" s="756" t="n"/>
      <c r="V188" s="756" t="n"/>
      <c r="W188" s="756" t="n"/>
      <c r="X188" s="756" t="n"/>
      <c r="Y188" s="756" t="n"/>
      <c r="Z188" s="24" t="n"/>
      <c r="AA188" s="24" t="n"/>
      <c r="AB188" s="756" t="n"/>
      <c r="AC188" s="756" t="n"/>
      <c r="AD188" s="756" t="n"/>
      <c r="AE188" s="756" t="n"/>
      <c r="AF188" s="756" t="n"/>
      <c r="AG188" s="24" t="n"/>
      <c r="AH188" s="24" t="n"/>
      <c r="AI188" s="4" t="n"/>
      <c r="AL188" s="857" t="inlineStr">
        <is>
          <t>IFCT117 Introducció a la intel·ligència artificial (1a ed.) · MARIA · FIREFOX matí 9:00-14:00 · 11/01–15/01 · 25 h</t>
        </is>
      </c>
    </row>
    <row r="189" ht="19.5" customHeight="1" s="757" thickBot="1">
      <c r="A189" s="14" t="inlineStr">
        <is>
          <t>COPILOT matí</t>
        </is>
      </c>
      <c r="B189" s="15" t="n"/>
      <c r="C189" s="15" t="n"/>
      <c r="D189" s="596" t="n"/>
      <c r="E189" s="35" t="n"/>
      <c r="F189" s="35" t="n"/>
      <c r="G189" s="778" t="n"/>
      <c r="H189" s="778" t="n"/>
      <c r="I189" s="611" t="n"/>
      <c r="J189" s="778" t="n"/>
      <c r="K189" s="778" t="n"/>
      <c r="L189" s="35" t="n"/>
      <c r="M189" s="35" t="n"/>
      <c r="N189" s="858" t="n">
        <v>6</v>
      </c>
      <c r="O189" s="859" t="n">
        <v>6</v>
      </c>
      <c r="P189" s="859" t="n">
        <v>6</v>
      </c>
      <c r="Q189" s="859" t="n">
        <v>6</v>
      </c>
      <c r="R189" s="859" t="n">
        <v>6</v>
      </c>
      <c r="S189" s="35" t="n"/>
      <c r="T189" s="35" t="n"/>
      <c r="U189" s="859" t="n">
        <v>6</v>
      </c>
      <c r="V189" s="859" t="n">
        <v>6</v>
      </c>
      <c r="W189" s="859" t="n">
        <v>6</v>
      </c>
      <c r="X189" s="859" t="n">
        <v>6</v>
      </c>
      <c r="Y189" s="859" t="n">
        <v>6</v>
      </c>
      <c r="Z189" s="35" t="n"/>
      <c r="AA189" s="35" t="n"/>
      <c r="AB189" s="859" t="n">
        <v>6</v>
      </c>
      <c r="AC189" s="859" t="n">
        <v>6</v>
      </c>
      <c r="AD189" s="859" t="n">
        <v>6</v>
      </c>
      <c r="AE189" s="859" t="n">
        <v>6</v>
      </c>
      <c r="AF189" s="859" t="n">
        <v>6</v>
      </c>
      <c r="AG189" s="35" t="n"/>
      <c r="AH189" s="35" t="n"/>
      <c r="AI189" s="4" t="n"/>
      <c r="AJ189" s="428" t="n"/>
      <c r="AK189" s="775" t="n"/>
      <c r="AL189" s="860" t="inlineStr">
        <is>
          <t>IFCD64 Gestió de Projectes d'implementació del CRM · PER ASSIGNAR · COPILOT matí 9:00-15:00 · 11/01–12/02 · 145 h</t>
        </is>
      </c>
    </row>
    <row r="190" ht="16.5" customHeight="1" s="757" thickTop="1">
      <c r="A190" s="17" t="inlineStr">
        <is>
          <t>GOOGLE tarda</t>
        </is>
      </c>
      <c r="B190" s="18" t="n"/>
      <c r="C190" s="18" t="n"/>
      <c r="D190" s="28" t="n"/>
      <c r="E190" s="24" t="n"/>
      <c r="F190" s="24" t="n"/>
      <c r="G190" s="756" t="n"/>
      <c r="H190" s="756" t="n"/>
      <c r="I190" s="610" t="n"/>
      <c r="J190" s="756" t="n"/>
      <c r="K190" s="756" t="n"/>
      <c r="L190" s="24" t="n"/>
      <c r="M190" s="24" t="n"/>
      <c r="N190" s="861" t="n">
        <v>6</v>
      </c>
      <c r="O190" s="862" t="n">
        <v>6</v>
      </c>
      <c r="P190" s="862" t="n">
        <v>6</v>
      </c>
      <c r="Q190" s="862" t="n">
        <v>6</v>
      </c>
      <c r="R190" s="862" t="n">
        <v>6</v>
      </c>
      <c r="S190" s="24" t="n"/>
      <c r="T190" s="24" t="n"/>
      <c r="U190" s="863" t="n">
        <v>5</v>
      </c>
      <c r="V190" s="864" t="n">
        <v>5</v>
      </c>
      <c r="W190" s="864" t="n">
        <v>5</v>
      </c>
      <c r="X190" s="864" t="n">
        <v>5</v>
      </c>
      <c r="Y190" s="756" t="n"/>
      <c r="Z190" s="24" t="n"/>
      <c r="AA190" s="24" t="n"/>
      <c r="AB190" s="756" t="n"/>
      <c r="AC190" s="756" t="n"/>
      <c r="AD190" s="756" t="n"/>
      <c r="AE190" s="756" t="n"/>
      <c r="AF190" s="756" t="n"/>
      <c r="AG190" s="24" t="n"/>
      <c r="AH190" s="24" t="n"/>
      <c r="AI190" s="4" t="n"/>
      <c r="AL190" s="865" t="inlineStr">
        <is>
          <t>SEAD0227 Tècniques de relaxació · ESTHER · GOOGLE tarda 15:00-20:00 · 18/01–21/01 · 20 h</t>
        </is>
      </c>
      <c r="AU190" s="866" t="inlineStr">
        <is>
          <t>CTRP0006 Mindfulness · RAMON · GOOGLE tarda 15:00-21:00 · 11/01–15/01 · 30 h</t>
        </is>
      </c>
    </row>
    <row r="191" ht="15.75" customHeight="1" s="757">
      <c r="A191" s="10" t="inlineStr">
        <is>
          <t>FIREFOX tarda</t>
        </is>
      </c>
      <c r="B191" s="11" t="n"/>
      <c r="C191" s="11" t="n"/>
      <c r="D191" s="26" t="n"/>
      <c r="E191" s="24" t="n"/>
      <c r="F191" s="24" t="n"/>
      <c r="G191" s="826" t="n">
        <v>6</v>
      </c>
      <c r="H191" s="826" t="n">
        <v>6</v>
      </c>
      <c r="I191" s="610" t="n"/>
      <c r="J191" s="826" t="n">
        <v>6</v>
      </c>
      <c r="K191" s="826" t="n">
        <v>6</v>
      </c>
      <c r="L191" s="24" t="n"/>
      <c r="M191" s="24" t="n"/>
      <c r="N191" s="826" t="n">
        <v>6</v>
      </c>
      <c r="O191" s="826" t="n">
        <v>6</v>
      </c>
      <c r="P191" s="826" t="n">
        <v>6</v>
      </c>
      <c r="Q191" s="826" t="n">
        <v>6</v>
      </c>
      <c r="R191" s="826" t="n">
        <v>6</v>
      </c>
      <c r="S191" s="24" t="n"/>
      <c r="T191" s="24" t="n"/>
      <c r="U191" s="826" t="n">
        <v>6</v>
      </c>
      <c r="V191" s="826" t="n">
        <v>6</v>
      </c>
      <c r="W191" s="826" t="n">
        <v>6</v>
      </c>
      <c r="X191" s="826" t="n">
        <v>6</v>
      </c>
      <c r="Y191" s="826" t="n">
        <v>6</v>
      </c>
      <c r="Z191" s="24" t="n"/>
      <c r="AA191" s="24" t="n"/>
      <c r="AB191" s="826" t="n">
        <v>6</v>
      </c>
      <c r="AC191" s="826" t="n">
        <v>6</v>
      </c>
      <c r="AD191" s="826" t="n">
        <v>6</v>
      </c>
      <c r="AE191" s="826" t="n">
        <v>6</v>
      </c>
      <c r="AF191" s="826" t="n">
        <v>6</v>
      </c>
      <c r="AG191" s="24" t="n"/>
      <c r="AH191" s="24" t="n"/>
      <c r="AL191" s="847" t="inlineStr">
        <is>
          <t>ADGG0208 ACTIVITATS ADMINISTRATIVES EN LA RELACIO AMB EL CLIENT [CFCC - TREBALLADORS] · PER ASSIGNAR · FIREFOX tarda 15:00-21:00 · 26/10–16/04 · 678 h</t>
        </is>
      </c>
    </row>
    <row r="192" ht="16.5" customHeight="1" s="757" thickBot="1">
      <c r="A192" s="14" t="inlineStr">
        <is>
          <t>COPILOT tarda</t>
        </is>
      </c>
      <c r="B192" s="15" t="n"/>
      <c r="C192" s="15" t="n"/>
      <c r="D192" s="27" t="n"/>
      <c r="E192" s="35" t="n"/>
      <c r="F192" s="35" t="n"/>
      <c r="G192" s="778" t="n"/>
      <c r="H192" s="778" t="n"/>
      <c r="I192" s="611" t="n"/>
      <c r="J192" s="778" t="n"/>
      <c r="K192" s="778" t="n"/>
      <c r="L192" s="35" t="n"/>
      <c r="M192" s="35" t="n"/>
      <c r="N192" s="778" t="n"/>
      <c r="O192" s="778" t="n"/>
      <c r="P192" s="778" t="n"/>
      <c r="Q192" s="778" t="n"/>
      <c r="R192" s="778" t="n"/>
      <c r="S192" s="35" t="n"/>
      <c r="T192" s="35" t="n"/>
      <c r="U192" s="867" t="n">
        <v>6</v>
      </c>
      <c r="V192" s="868" t="n">
        <v>6</v>
      </c>
      <c r="W192" s="868" t="n">
        <v>6</v>
      </c>
      <c r="X192" s="868" t="n">
        <v>6</v>
      </c>
      <c r="Y192" s="868" t="n">
        <v>6</v>
      </c>
      <c r="Z192" s="35" t="n"/>
      <c r="AA192" s="35" t="n"/>
      <c r="AB192" s="868" t="n">
        <v>5</v>
      </c>
      <c r="AC192" s="868" t="n">
        <v>5</v>
      </c>
      <c r="AD192" s="868" t="n">
        <v>5</v>
      </c>
      <c r="AE192" s="778" t="n"/>
      <c r="AF192" s="778" t="n"/>
      <c r="AG192" s="35" t="n"/>
      <c r="AH192" s="35" t="n"/>
      <c r="AL192" s="869" t="inlineStr">
        <is>
          <t>CTRL0041 CTRL0041_2024_Català A2.1 (Català bàsic 1 ) · PER ASSIGNAR · COPILOT tarda 15:00-21:00 · 18/01–27/01 · 45 h</t>
        </is>
      </c>
    </row>
    <row r="193" ht="16.5" customHeight="1" s="757" thickTop="1">
      <c r="A193" s="10" t="inlineStr">
        <is>
          <t>TARRAGONA matí</t>
        </is>
      </c>
      <c r="B193" s="11" t="n"/>
      <c r="C193" s="11" t="n"/>
      <c r="D193" s="26" t="n"/>
      <c r="E193" s="39" t="n"/>
      <c r="F193" s="39" t="n"/>
      <c r="G193" s="755" t="n"/>
      <c r="H193" s="755" t="n"/>
      <c r="I193" s="612" t="n"/>
      <c r="J193" s="755" t="n"/>
      <c r="K193" s="755" t="n"/>
      <c r="L193" s="24" t="n"/>
      <c r="M193" s="24" t="n"/>
      <c r="N193" s="755" t="n"/>
      <c r="O193" s="755" t="n"/>
      <c r="P193" s="755" t="n"/>
      <c r="Q193" s="755" t="n"/>
      <c r="R193" s="755" t="n"/>
      <c r="S193" s="24" t="n"/>
      <c r="T193" s="24" t="n"/>
      <c r="U193" s="755" t="n"/>
      <c r="V193" s="755" t="n"/>
      <c r="W193" s="755" t="n"/>
      <c r="X193" s="755" t="n"/>
      <c r="Y193" s="755" t="n"/>
      <c r="Z193" s="24" t="n"/>
      <c r="AA193" s="24" t="n"/>
      <c r="AB193" s="755" t="n"/>
      <c r="AC193" s="755" t="n"/>
      <c r="AD193" s="755" t="n"/>
      <c r="AE193" s="755" t="n"/>
      <c r="AF193" s="755" t="n"/>
      <c r="AG193" s="24" t="n"/>
      <c r="AH193" s="24" t="n"/>
    </row>
    <row r="194" ht="15.75" customHeight="1" s="757">
      <c r="A194" s="12" t="inlineStr">
        <is>
          <t>TARRAGONA tarda</t>
        </is>
      </c>
      <c r="B194" s="11" t="n"/>
      <c r="C194" s="11" t="n"/>
      <c r="D194" s="26" t="n"/>
      <c r="E194" s="24" t="n"/>
      <c r="F194" s="24" t="n"/>
      <c r="G194" s="756" t="n"/>
      <c r="H194" s="756" t="n"/>
      <c r="I194" s="610" t="n"/>
      <c r="J194" s="756" t="n"/>
      <c r="K194" s="756" t="n"/>
      <c r="L194" s="24" t="n"/>
      <c r="M194" s="24" t="n"/>
      <c r="N194" s="756" t="n"/>
      <c r="O194" s="756" t="n"/>
      <c r="P194" s="756" t="n"/>
      <c r="Q194" s="756" t="n"/>
      <c r="R194" s="756" t="n"/>
      <c r="S194" s="24" t="n"/>
      <c r="T194" s="24" t="n"/>
      <c r="U194" s="756" t="n"/>
      <c r="V194" s="756" t="n"/>
      <c r="W194" s="756" t="n"/>
      <c r="X194" s="756" t="n"/>
      <c r="Y194" s="756" t="n"/>
      <c r="Z194" s="24" t="n"/>
      <c r="AA194" s="24" t="n"/>
      <c r="AB194" s="756" t="n"/>
      <c r="AC194" s="756" t="n"/>
      <c r="AD194" s="756" t="n"/>
      <c r="AE194" s="756" t="n"/>
      <c r="AF194" s="756" t="n"/>
      <c r="AG194" s="24" t="n"/>
      <c r="AH194" s="24" t="n"/>
    </row>
    <row r="195" ht="15.75" customHeight="1" s="757">
      <c r="A195" s="12" t="inlineStr">
        <is>
          <t>ONLINE</t>
        </is>
      </c>
      <c r="B195" s="11" t="n"/>
      <c r="C195" s="11" t="n"/>
      <c r="D195" s="26" t="n"/>
      <c r="E195" s="24" t="n"/>
      <c r="F195" s="24" t="n"/>
      <c r="G195" s="756" t="n"/>
      <c r="H195" s="756" t="n"/>
      <c r="I195" s="610" t="n"/>
      <c r="J195" s="756" t="n"/>
      <c r="K195" s="756" t="n"/>
      <c r="L195" s="24" t="n"/>
      <c r="M195" s="24" t="n"/>
      <c r="N195" s="756" t="n"/>
      <c r="O195" s="756" t="n"/>
      <c r="P195" s="756" t="n"/>
      <c r="Q195" s="756" t="n"/>
      <c r="R195" s="756" t="n"/>
      <c r="S195" s="24" t="n"/>
      <c r="T195" s="24" t="n"/>
      <c r="U195" s="756" t="n"/>
      <c r="V195" s="756" t="n"/>
      <c r="W195" s="756" t="n"/>
      <c r="X195" s="756" t="n"/>
      <c r="Y195" s="756" t="n"/>
      <c r="Z195" s="24" t="n"/>
      <c r="AA195" s="24" t="n"/>
      <c r="AB195" s="756" t="n"/>
      <c r="AC195" s="756" t="n"/>
      <c r="AD195" s="756" t="n"/>
      <c r="AE195" s="756" t="n"/>
      <c r="AF195" s="756" t="n"/>
      <c r="AG195" s="24" t="n"/>
      <c r="AH195" s="24" t="n"/>
    </row>
    <row r="196"/>
    <row r="197"/>
    <row r="198" ht="21.75" customHeight="1" s="757" thickBot="1">
      <c r="A198" s="854" t="inlineStr">
        <is>
          <t>FEBRER 2027</t>
        </is>
      </c>
      <c r="B198" s="156" t="n"/>
      <c r="C198" s="156" t="n"/>
      <c r="D198" s="156" t="n"/>
      <c r="E198" s="156" t="n"/>
      <c r="F198" s="156" t="n"/>
      <c r="G198" s="156" t="n"/>
      <c r="H198" s="156" t="n"/>
      <c r="I198" s="156" t="n"/>
      <c r="J198" s="156" t="n"/>
      <c r="K198" s="156" t="n"/>
      <c r="L198" s="156" t="n"/>
      <c r="M198" s="156" t="n"/>
      <c r="N198" s="156" t="n"/>
      <c r="O198" s="156" t="n"/>
      <c r="P198" s="156" t="n"/>
      <c r="Q198" s="156" t="n"/>
      <c r="R198" s="156" t="n"/>
      <c r="S198" s="156" t="n"/>
      <c r="T198" s="156" t="n"/>
      <c r="U198" s="156" t="n"/>
      <c r="V198" s="156" t="n"/>
      <c r="W198" s="156" t="n"/>
      <c r="X198" s="156" t="n"/>
      <c r="Y198" s="156" t="n"/>
      <c r="Z198" s="156" t="n"/>
      <c r="AA198" s="156" t="n"/>
      <c r="AB198" s="156" t="n"/>
      <c r="AC198" s="156" t="n"/>
      <c r="AD198" s="156" t="n"/>
      <c r="AE198" s="156" t="n"/>
      <c r="AF198" s="156" t="n"/>
      <c r="AG198" s="156" t="n"/>
      <c r="AH198" s="142" t="n"/>
      <c r="AI198" s="500" t="n">
        <v>20</v>
      </c>
    </row>
    <row r="199" ht="51" customHeight="1" s="757">
      <c r="A199" s="7" t="inlineStr">
        <is>
          <t>AULA</t>
        </is>
      </c>
      <c r="B199" s="8" t="inlineStr">
        <is>
          <t>INICI</t>
        </is>
      </c>
      <c r="C199" s="8" t="inlineStr">
        <is>
          <t>FINAL</t>
        </is>
      </c>
      <c r="D199" s="9" t="n">
        <v>46419</v>
      </c>
      <c r="E199" s="9" t="n">
        <v>46420</v>
      </c>
      <c r="F199" s="9" t="n">
        <v>46421</v>
      </c>
      <c r="G199" s="9" t="n">
        <v>46422</v>
      </c>
      <c r="H199" s="9" t="n">
        <v>46423</v>
      </c>
      <c r="I199" s="9" t="n">
        <v>46424</v>
      </c>
      <c r="J199" s="9" t="n">
        <v>46425</v>
      </c>
      <c r="K199" s="9" t="n">
        <v>46426</v>
      </c>
      <c r="L199" s="9" t="n">
        <v>46427</v>
      </c>
      <c r="M199" s="9" t="n">
        <v>46428</v>
      </c>
      <c r="N199" s="9" t="n">
        <v>46429</v>
      </c>
      <c r="O199" s="9" t="n">
        <v>46430</v>
      </c>
      <c r="P199" s="9" t="n">
        <v>46431</v>
      </c>
      <c r="Q199" s="9" t="n">
        <v>46432</v>
      </c>
      <c r="R199" s="9" t="n">
        <v>46433</v>
      </c>
      <c r="S199" s="9" t="n">
        <v>46434</v>
      </c>
      <c r="T199" s="9" t="n">
        <v>46435</v>
      </c>
      <c r="U199" s="9" t="n">
        <v>46436</v>
      </c>
      <c r="V199" s="9" t="n">
        <v>46437</v>
      </c>
      <c r="W199" s="9" t="n">
        <v>46438</v>
      </c>
      <c r="X199" s="9" t="n">
        <v>46439</v>
      </c>
      <c r="Y199" s="9" t="n">
        <v>46440</v>
      </c>
      <c r="Z199" s="9" t="n">
        <v>46441</v>
      </c>
      <c r="AA199" s="9" t="n">
        <v>46442</v>
      </c>
      <c r="AB199" s="9" t="n">
        <v>46443</v>
      </c>
      <c r="AC199" s="9" t="n">
        <v>46444</v>
      </c>
      <c r="AD199" s="9" t="n">
        <v>46445</v>
      </c>
      <c r="AE199" s="9" t="n">
        <v>46446</v>
      </c>
      <c r="AF199" s="9" t="n"/>
      <c r="AG199" s="9" t="n"/>
      <c r="AH199" s="9" t="n"/>
      <c r="AI199" s="4" t="n"/>
    </row>
    <row r="200" ht="15.75" customHeight="1" s="757">
      <c r="A200" s="10" t="inlineStr">
        <is>
          <t>GOOGLE MATINS</t>
        </is>
      </c>
      <c r="B200" s="11" t="n"/>
      <c r="C200" s="11" t="n"/>
      <c r="D200" s="834" t="n">
        <v>6</v>
      </c>
      <c r="E200" s="834" t="n">
        <v>6</v>
      </c>
      <c r="F200" s="834" t="n">
        <v>6</v>
      </c>
      <c r="G200" s="834" t="n">
        <v>6</v>
      </c>
      <c r="H200" s="834" t="n">
        <v>6</v>
      </c>
      <c r="I200" s="24" t="n"/>
      <c r="J200" s="24" t="n"/>
      <c r="K200" s="834" t="n">
        <v>6</v>
      </c>
      <c r="L200" s="834" t="n">
        <v>6</v>
      </c>
      <c r="M200" s="834" t="n">
        <v>6</v>
      </c>
      <c r="N200" s="834" t="n">
        <v>6</v>
      </c>
      <c r="O200" s="834" t="n">
        <v>6</v>
      </c>
      <c r="P200" s="24" t="n"/>
      <c r="Q200" s="24" t="n"/>
      <c r="R200" s="834" t="n">
        <v>6</v>
      </c>
      <c r="S200" s="834" t="n">
        <v>6</v>
      </c>
      <c r="T200" s="834" t="n">
        <v>6</v>
      </c>
      <c r="U200" s="834" t="n">
        <v>6</v>
      </c>
      <c r="V200" s="834" t="n">
        <v>6</v>
      </c>
      <c r="W200" s="24" t="n"/>
      <c r="X200" s="24" t="n"/>
      <c r="Y200" s="834" t="n">
        <v>6</v>
      </c>
      <c r="Z200" s="834" t="n">
        <v>6</v>
      </c>
      <c r="AA200" s="834" t="n">
        <v>6</v>
      </c>
      <c r="AB200" s="834" t="n">
        <v>6</v>
      </c>
      <c r="AC200" s="834" t="n">
        <v>6</v>
      </c>
      <c r="AD200" s="24" t="n"/>
      <c r="AE200" s="24" t="n"/>
      <c r="AF200" s="756" t="n"/>
      <c r="AG200" s="756" t="n"/>
      <c r="AH200" s="756" t="n"/>
      <c r="AI200" s="4" t="n"/>
      <c r="AK200" s="627" t="n"/>
      <c r="AL200" s="851" t="inlineStr">
        <is>
          <t>ADGG0208 ACTIVITATS ADMINISTRATIVES EN LA RELACIO AMB EL CLIENT [FORMA I CONTRACTE - ATURATS] · PER ASSIGNAR · GOOGLE matí 9:00-15:00 · 10/11–03/05 · 678 h</t>
        </is>
      </c>
    </row>
    <row r="201" ht="15.75" customHeight="1" s="757">
      <c r="A201" s="10" t="inlineStr">
        <is>
          <t>FIREFOX matí</t>
        </is>
      </c>
      <c r="B201" s="456" t="n"/>
      <c r="C201" s="456" t="n"/>
      <c r="D201" s="870" t="n">
        <v>6</v>
      </c>
      <c r="E201" s="871" t="n">
        <v>6</v>
      </c>
      <c r="F201" s="871" t="n">
        <v>6</v>
      </c>
      <c r="G201" s="871" t="n">
        <v>6</v>
      </c>
      <c r="H201" s="871" t="n">
        <v>6</v>
      </c>
      <c r="I201" s="24" t="n"/>
      <c r="J201" s="24" t="n"/>
      <c r="K201" s="871" t="n">
        <v>5</v>
      </c>
      <c r="L201" s="871" t="n">
        <v>5</v>
      </c>
      <c r="M201" s="756" t="n"/>
      <c r="N201" s="756" t="n"/>
      <c r="O201" s="756" t="n"/>
      <c r="P201" s="24" t="n"/>
      <c r="Q201" s="24" t="n"/>
      <c r="R201" s="756" t="n"/>
      <c r="S201" s="756" t="n"/>
      <c r="T201" s="756" t="n"/>
      <c r="U201" s="756" t="n"/>
      <c r="V201" s="756" t="n"/>
      <c r="W201" s="24" t="n"/>
      <c r="X201" s="24" t="n"/>
      <c r="Y201" s="872" t="n">
        <v>6</v>
      </c>
      <c r="Z201" s="873" t="n">
        <v>6</v>
      </c>
      <c r="AA201" s="873" t="n">
        <v>6</v>
      </c>
      <c r="AB201" s="873" t="n">
        <v>6</v>
      </c>
      <c r="AC201" s="873" t="n">
        <v>6</v>
      </c>
      <c r="AD201" s="24" t="n"/>
      <c r="AE201" s="24" t="n"/>
      <c r="AF201" s="756" t="n"/>
      <c r="AG201" s="756" t="n"/>
      <c r="AH201" s="756" t="n"/>
      <c r="AI201" s="4" t="n"/>
      <c r="AK201" s="774" t="n"/>
      <c r="AL201" s="874" t="inlineStr">
        <is>
          <t>FCOI19 Comunicació i col·laboració amb eines digitals (ACTIC Nivell intermedi) (1a ed.) · MARIA · FIREFOX matí 9:00-15:00 · 01/02–09/02 · 40 h</t>
        </is>
      </c>
      <c r="AU201" s="875" t="inlineStr">
        <is>
          <t>FCOI16 Creació de continguts digitals i programació (ACTIC Nivell intermedi) (1a ed.) · MARIA · FIREFOX matí 9:00-15:00 · 22/02–02/03 · 40 h</t>
        </is>
      </c>
    </row>
    <row r="202" ht="19.5" customHeight="1" s="757" thickBot="1">
      <c r="A202" s="14" t="inlineStr">
        <is>
          <t>COPILOT matí</t>
        </is>
      </c>
      <c r="B202" s="15" t="n"/>
      <c r="C202" s="15" t="n"/>
      <c r="D202" s="859" t="n">
        <v>6</v>
      </c>
      <c r="E202" s="859" t="n">
        <v>6</v>
      </c>
      <c r="F202" s="859" t="n">
        <v>6</v>
      </c>
      <c r="G202" s="859" t="n">
        <v>6</v>
      </c>
      <c r="H202" s="859" t="n">
        <v>6</v>
      </c>
      <c r="I202" s="35" t="n"/>
      <c r="J202" s="35" t="n"/>
      <c r="K202" s="859" t="n">
        <v>5</v>
      </c>
      <c r="L202" s="859" t="n">
        <v>5</v>
      </c>
      <c r="M202" s="859" t="n">
        <v>5</v>
      </c>
      <c r="N202" s="859" t="n">
        <v>5</v>
      </c>
      <c r="O202" s="859" t="n">
        <v>5</v>
      </c>
      <c r="P202" s="35" t="n"/>
      <c r="Q202" s="35" t="n"/>
      <c r="R202" s="876" t="n">
        <v>6</v>
      </c>
      <c r="S202" s="877" t="n">
        <v>6</v>
      </c>
      <c r="T202" s="877" t="n">
        <v>6</v>
      </c>
      <c r="U202" s="877" t="n">
        <v>6</v>
      </c>
      <c r="V202" s="877" t="n">
        <v>6</v>
      </c>
      <c r="W202" s="35" t="n"/>
      <c r="X202" s="35" t="n"/>
      <c r="Y202" s="877" t="n">
        <v>5</v>
      </c>
      <c r="Z202" s="877" t="n">
        <v>5</v>
      </c>
      <c r="AA202" s="778" t="n"/>
      <c r="AB202" s="778" t="n"/>
      <c r="AC202" s="778" t="n"/>
      <c r="AD202" s="35" t="n"/>
      <c r="AE202" s="35" t="n"/>
      <c r="AF202" s="778" t="n"/>
      <c r="AG202" s="778" t="n"/>
      <c r="AH202" s="778" t="n"/>
      <c r="AI202" s="4" t="n"/>
      <c r="AJ202" s="428" t="n"/>
      <c r="AK202" s="775" t="n"/>
      <c r="AL202" s="878" t="inlineStr">
        <is>
          <t>CTRP0037 Coaching de fortaleses. Nivell II · RAMON · COPILOT matí 9:00-15:00 · 15/02–23/02 · 40 h</t>
        </is>
      </c>
      <c r="AU202" s="879" t="inlineStr">
        <is>
          <t>IFCD64 Gestió de Projectes d'implementació del CRM · PER ASSIGNAR · COPILOT matí 9:00-15:00 · 11/01–12/02 · 145 h</t>
        </is>
      </c>
    </row>
    <row r="203" ht="16.5" customHeight="1" s="757" thickTop="1">
      <c r="A203" s="17" t="inlineStr">
        <is>
          <t>GOOGLE tarda</t>
        </is>
      </c>
      <c r="B203" s="18" t="n"/>
      <c r="C203" s="18" t="n"/>
      <c r="D203" s="755" t="n"/>
      <c r="E203" s="756" t="n"/>
      <c r="F203" s="756" t="n"/>
      <c r="G203" s="756" t="n"/>
      <c r="H203" s="756" t="n"/>
      <c r="I203" s="24" t="n"/>
      <c r="J203" s="24" t="n"/>
      <c r="K203" s="756" t="n"/>
      <c r="L203" s="756" t="n"/>
      <c r="M203" s="756" t="n"/>
      <c r="N203" s="756" t="n"/>
      <c r="O203" s="756" t="n"/>
      <c r="P203" s="24" t="n"/>
      <c r="Q203" s="24" t="n"/>
      <c r="R203" s="756" t="n"/>
      <c r="S203" s="756" t="n"/>
      <c r="T203" s="756" t="n"/>
      <c r="U203" s="756" t="n"/>
      <c r="V203" s="756" t="n"/>
      <c r="W203" s="24" t="n"/>
      <c r="X203" s="24" t="n"/>
      <c r="Y203" s="756" t="n"/>
      <c r="Z203" s="756" t="n"/>
      <c r="AA203" s="756" t="n"/>
      <c r="AB203" s="756" t="n"/>
      <c r="AC203" s="756" t="n"/>
      <c r="AD203" s="24" t="n"/>
      <c r="AE203" s="24" t="n"/>
      <c r="AF203" s="756" t="n"/>
      <c r="AG203" s="756" t="n"/>
      <c r="AH203" s="756" t="n"/>
      <c r="AI203" s="4" t="n"/>
    </row>
    <row r="204" ht="15.75" customHeight="1" s="757">
      <c r="A204" s="10" t="inlineStr">
        <is>
          <t>FIREFOX tarda</t>
        </is>
      </c>
      <c r="B204" s="11" t="n"/>
      <c r="C204" s="11" t="n"/>
      <c r="D204" s="826" t="n">
        <v>6</v>
      </c>
      <c r="E204" s="826" t="n">
        <v>6</v>
      </c>
      <c r="F204" s="826" t="n">
        <v>6</v>
      </c>
      <c r="G204" s="826" t="n">
        <v>6</v>
      </c>
      <c r="H204" s="826" t="n">
        <v>6</v>
      </c>
      <c r="I204" s="24" t="n"/>
      <c r="J204" s="24" t="n"/>
      <c r="K204" s="826" t="n">
        <v>6</v>
      </c>
      <c r="L204" s="826" t="n">
        <v>6</v>
      </c>
      <c r="M204" s="826" t="n">
        <v>6</v>
      </c>
      <c r="N204" s="826" t="n">
        <v>6</v>
      </c>
      <c r="O204" s="826" t="n">
        <v>6</v>
      </c>
      <c r="P204" s="24" t="n"/>
      <c r="Q204" s="24" t="n"/>
      <c r="R204" s="826" t="n">
        <v>6</v>
      </c>
      <c r="S204" s="826" t="n">
        <v>6</v>
      </c>
      <c r="T204" s="826" t="n">
        <v>6</v>
      </c>
      <c r="U204" s="826" t="n">
        <v>6</v>
      </c>
      <c r="V204" s="826" t="n">
        <v>6</v>
      </c>
      <c r="W204" s="24" t="n"/>
      <c r="X204" s="24" t="n"/>
      <c r="Y204" s="826" t="n">
        <v>6</v>
      </c>
      <c r="Z204" s="826" t="n">
        <v>6</v>
      </c>
      <c r="AA204" s="826" t="n">
        <v>6</v>
      </c>
      <c r="AB204" s="826" t="n">
        <v>6</v>
      </c>
      <c r="AC204" s="826" t="n">
        <v>6</v>
      </c>
      <c r="AD204" s="24" t="n"/>
      <c r="AE204" s="24" t="n"/>
      <c r="AF204" s="756" t="n"/>
      <c r="AG204" s="756" t="n"/>
      <c r="AH204" s="756" t="n"/>
      <c r="AL204" s="847" t="inlineStr">
        <is>
          <t>ADGG0208 ACTIVITATS ADMINISTRATIVES EN LA RELACIO AMB EL CLIENT [CFCC - TREBALLADORS] · PER ASSIGNAR · FIREFOX tarda 15:00-21:00 · 26/10–16/04 · 678 h</t>
        </is>
      </c>
    </row>
    <row r="205" ht="16.5" customHeight="1" s="757" thickBot="1">
      <c r="A205" s="14" t="inlineStr">
        <is>
          <t>COPILOT tarda</t>
        </is>
      </c>
      <c r="B205" s="15" t="n"/>
      <c r="C205" s="15" t="n"/>
      <c r="D205" s="880" t="n">
        <v>6</v>
      </c>
      <c r="E205" s="881" t="n">
        <v>6</v>
      </c>
      <c r="F205" s="881" t="n">
        <v>6</v>
      </c>
      <c r="G205" s="881" t="n">
        <v>6</v>
      </c>
      <c r="H205" s="881" t="n">
        <v>6</v>
      </c>
      <c r="I205" s="35" t="n"/>
      <c r="J205" s="35" t="n"/>
      <c r="K205" s="881" t="n">
        <v>6</v>
      </c>
      <c r="L205" s="881" t="n">
        <v>6</v>
      </c>
      <c r="M205" s="881" t="n">
        <v>6</v>
      </c>
      <c r="N205" s="881" t="n">
        <v>6</v>
      </c>
      <c r="O205" s="881" t="n">
        <v>6</v>
      </c>
      <c r="P205" s="35" t="n"/>
      <c r="Q205" s="35" t="n"/>
      <c r="R205" s="881" t="n">
        <v>6</v>
      </c>
      <c r="S205" s="881" t="n">
        <v>6</v>
      </c>
      <c r="T205" s="881" t="n">
        <v>6</v>
      </c>
      <c r="U205" s="881" t="n">
        <v>6</v>
      </c>
      <c r="V205" s="881" t="n">
        <v>6</v>
      </c>
      <c r="W205" s="35" t="n"/>
      <c r="X205" s="35" t="n"/>
      <c r="Y205" s="881" t="n">
        <v>6</v>
      </c>
      <c r="Z205" s="881" t="n">
        <v>6</v>
      </c>
      <c r="AA205" s="881" t="n">
        <v>6</v>
      </c>
      <c r="AB205" s="881" t="n">
        <v>6</v>
      </c>
      <c r="AC205" s="881" t="n">
        <v>6</v>
      </c>
      <c r="AD205" s="35" t="n"/>
      <c r="AE205" s="35" t="n"/>
      <c r="AF205" s="778" t="n"/>
      <c r="AG205" s="778" t="n"/>
      <c r="AH205" s="778" t="n"/>
      <c r="AL205" s="882" t="inlineStr">
        <is>
          <t>IMPE0110 MF0063 MASSATGES ESTÈTIC MANUAL I MECÀNIC · LEIRE · COPILOT tarda 15:00-21:00 · 01/02–08/03 · 152 h</t>
        </is>
      </c>
    </row>
    <row r="206" ht="16.5" customHeight="1" s="757" thickTop="1">
      <c r="A206" s="10" t="inlineStr">
        <is>
          <t>TARRAGONA matí</t>
        </is>
      </c>
      <c r="B206" s="11" t="n"/>
      <c r="C206" s="11" t="n"/>
      <c r="D206" s="755" t="n"/>
      <c r="E206" s="755" t="n"/>
      <c r="F206" s="755" t="n"/>
      <c r="G206" s="123" t="n"/>
      <c r="H206" s="755" t="n"/>
      <c r="I206" s="24" t="n"/>
      <c r="J206" s="24" t="n"/>
      <c r="K206" s="755" t="n"/>
      <c r="L206" s="756" t="n"/>
      <c r="M206" s="756" t="n"/>
      <c r="N206" s="755" t="n"/>
      <c r="O206" s="755" t="n"/>
      <c r="P206" s="24" t="n"/>
      <c r="Q206" s="24" t="n"/>
      <c r="R206" s="755" t="n"/>
      <c r="S206" s="756" t="n"/>
      <c r="T206" s="756" t="n"/>
      <c r="U206" s="755" t="n"/>
      <c r="V206" s="755" t="n"/>
      <c r="W206" s="24" t="n"/>
      <c r="X206" s="24" t="n"/>
      <c r="Y206" s="755" t="n"/>
      <c r="Z206" s="756" t="n"/>
      <c r="AA206" s="756" t="n"/>
      <c r="AB206" s="755" t="n"/>
      <c r="AC206" s="755" t="n"/>
      <c r="AD206" s="24" t="n"/>
      <c r="AE206" s="24" t="n"/>
      <c r="AF206" s="755" t="n"/>
      <c r="AG206" s="756" t="n"/>
      <c r="AH206" s="756" t="n"/>
    </row>
    <row r="207" ht="15.75" customHeight="1" s="757">
      <c r="A207" s="12" t="inlineStr">
        <is>
          <t>TARRAGONA tarda</t>
        </is>
      </c>
      <c r="B207" s="11" t="n"/>
      <c r="C207" s="11" t="n"/>
      <c r="D207" s="756" t="n"/>
      <c r="E207" s="756" t="n"/>
      <c r="F207" s="756" t="n"/>
      <c r="G207" s="142" t="n"/>
      <c r="H207" s="756" t="n"/>
      <c r="I207" s="24" t="n"/>
      <c r="J207" s="24" t="n"/>
      <c r="K207" s="756" t="n"/>
      <c r="L207" s="756" t="n"/>
      <c r="M207" s="756" t="n"/>
      <c r="N207" s="756" t="n"/>
      <c r="O207" s="756" t="n"/>
      <c r="P207" s="24" t="n"/>
      <c r="Q207" s="24" t="n"/>
      <c r="R207" s="756" t="n"/>
      <c r="S207" s="756" t="n"/>
      <c r="T207" s="756" t="n"/>
      <c r="U207" s="756" t="n"/>
      <c r="V207" s="756" t="n"/>
      <c r="W207" s="24" t="n"/>
      <c r="X207" s="24" t="n"/>
      <c r="Y207" s="756" t="n"/>
      <c r="Z207" s="756" t="n"/>
      <c r="AA207" s="756" t="n"/>
      <c r="AB207" s="756" t="n"/>
      <c r="AC207" s="756" t="n"/>
      <c r="AD207" s="24" t="n"/>
      <c r="AE207" s="24" t="n"/>
      <c r="AF207" s="756" t="n"/>
      <c r="AG207" s="756" t="n"/>
      <c r="AH207" s="756" t="n"/>
    </row>
    <row r="208" ht="16.5" customHeight="1" s="757" thickBot="1">
      <c r="A208" s="12" t="inlineStr">
        <is>
          <t>ONLINE</t>
        </is>
      </c>
      <c r="B208" s="11" t="n"/>
      <c r="C208" s="11" t="n"/>
      <c r="D208" s="756" t="n"/>
      <c r="E208" s="756" t="n"/>
      <c r="F208" s="756" t="n"/>
      <c r="G208" s="142" t="n"/>
      <c r="H208" s="756" t="n"/>
      <c r="I208" s="35" t="n"/>
      <c r="J208" s="35" t="n"/>
      <c r="K208" s="756" t="n"/>
      <c r="L208" s="756" t="n"/>
      <c r="M208" s="756" t="n"/>
      <c r="N208" s="756" t="n"/>
      <c r="O208" s="756" t="n"/>
      <c r="P208" s="24" t="n"/>
      <c r="Q208" s="24" t="n"/>
      <c r="R208" s="756" t="n"/>
      <c r="S208" s="756" t="n"/>
      <c r="T208" s="756" t="n"/>
      <c r="U208" s="756" t="n"/>
      <c r="V208" s="756" t="n"/>
      <c r="W208" s="24" t="n"/>
      <c r="X208" s="24" t="n"/>
      <c r="Y208" s="756" t="n"/>
      <c r="Z208" s="756" t="n"/>
      <c r="AA208" s="756" t="n"/>
      <c r="AB208" s="756" t="n"/>
      <c r="AC208" s="756" t="n"/>
      <c r="AD208" s="24" t="n"/>
      <c r="AE208" s="24" t="n"/>
      <c r="AF208" s="756" t="n"/>
      <c r="AG208" s="756" t="n"/>
      <c r="AH208" s="756" t="n"/>
    </row>
    <row r="209" ht="15.75" customHeight="1" s="757" thickTop="1"/>
    <row r="210"/>
    <row r="211" ht="21.75" customHeight="1" s="757" thickBot="1">
      <c r="A211" s="854" t="inlineStr">
        <is>
          <t>MARÇ 2027</t>
        </is>
      </c>
      <c r="B211" s="156" t="n"/>
      <c r="C211" s="156" t="n"/>
      <c r="D211" s="156" t="n"/>
      <c r="E211" s="156" t="n"/>
      <c r="F211" s="156" t="n"/>
      <c r="G211" s="156" t="n"/>
      <c r="H211" s="156" t="n"/>
      <c r="I211" s="156" t="n"/>
      <c r="J211" s="156" t="n"/>
      <c r="K211" s="156" t="n"/>
      <c r="L211" s="156" t="n"/>
      <c r="M211" s="156" t="n"/>
      <c r="N211" s="156" t="n"/>
      <c r="O211" s="156" t="n"/>
      <c r="P211" s="156" t="n"/>
      <c r="Q211" s="156" t="n"/>
      <c r="R211" s="156" t="n"/>
      <c r="S211" s="156" t="n"/>
      <c r="T211" s="156" t="n"/>
      <c r="U211" s="156" t="n"/>
      <c r="V211" s="156" t="n"/>
      <c r="W211" s="156" t="n"/>
      <c r="X211" s="156" t="n"/>
      <c r="Y211" s="156" t="n"/>
      <c r="Z211" s="156" t="n"/>
      <c r="AA211" s="156" t="n"/>
      <c r="AB211" s="156" t="n"/>
      <c r="AC211" s="156" t="n"/>
      <c r="AD211" s="156" t="n"/>
      <c r="AE211" s="156" t="n"/>
      <c r="AF211" s="156" t="n"/>
      <c r="AG211" s="156" t="n"/>
      <c r="AH211" s="142" t="n"/>
      <c r="AI211" s="500" t="n">
        <v>21</v>
      </c>
    </row>
    <row r="212" ht="51" customHeight="1" s="757">
      <c r="A212" s="7" t="inlineStr">
        <is>
          <t>AULA</t>
        </is>
      </c>
      <c r="B212" s="8" t="inlineStr">
        <is>
          <t>INICI</t>
        </is>
      </c>
      <c r="C212" s="8" t="inlineStr">
        <is>
          <t>FINAL</t>
        </is>
      </c>
      <c r="D212" s="9" t="n">
        <v>46447</v>
      </c>
      <c r="E212" s="9" t="n">
        <v>46448</v>
      </c>
      <c r="F212" s="9" t="n">
        <v>46449</v>
      </c>
      <c r="G212" s="9" t="n">
        <v>46450</v>
      </c>
      <c r="H212" s="9" t="n">
        <v>46451</v>
      </c>
      <c r="I212" s="9" t="n">
        <v>46452</v>
      </c>
      <c r="J212" s="9" t="n">
        <v>46453</v>
      </c>
      <c r="K212" s="9" t="n">
        <v>46454</v>
      </c>
      <c r="L212" s="9" t="n">
        <v>46455</v>
      </c>
      <c r="M212" s="9" t="n">
        <v>46456</v>
      </c>
      <c r="N212" s="9" t="n">
        <v>46457</v>
      </c>
      <c r="O212" s="9" t="n">
        <v>46458</v>
      </c>
      <c r="P212" s="9" t="n">
        <v>46459</v>
      </c>
      <c r="Q212" s="9" t="n">
        <v>46460</v>
      </c>
      <c r="R212" s="9" t="n">
        <v>46461</v>
      </c>
      <c r="S212" s="9" t="n">
        <v>46462</v>
      </c>
      <c r="T212" s="9" t="n">
        <v>46463</v>
      </c>
      <c r="U212" s="9" t="n">
        <v>46464</v>
      </c>
      <c r="V212" s="9" t="n">
        <v>46465</v>
      </c>
      <c r="W212" s="9" t="n">
        <v>46466</v>
      </c>
      <c r="X212" s="9" t="n">
        <v>46467</v>
      </c>
      <c r="Y212" s="9" t="n">
        <v>46468</v>
      </c>
      <c r="Z212" s="9" t="n">
        <v>46469</v>
      </c>
      <c r="AA212" s="9" t="n">
        <v>46470</v>
      </c>
      <c r="AB212" s="9" t="n">
        <v>46471</v>
      </c>
      <c r="AC212" s="9" t="n">
        <v>46472</v>
      </c>
      <c r="AD212" s="9" t="n">
        <v>46473</v>
      </c>
      <c r="AE212" s="9" t="n">
        <v>46474</v>
      </c>
      <c r="AF212" s="9" t="n">
        <v>46475</v>
      </c>
      <c r="AG212" s="9" t="n">
        <v>46476</v>
      </c>
      <c r="AH212" s="9" t="n">
        <v>46477</v>
      </c>
      <c r="AI212" s="4" t="n"/>
    </row>
    <row r="213" ht="15.75" customHeight="1" s="757">
      <c r="A213" s="10" t="inlineStr">
        <is>
          <t>GOOGLE MATINS</t>
        </is>
      </c>
      <c r="B213" s="11" t="n"/>
      <c r="C213" s="11" t="n"/>
      <c r="D213" s="834" t="n">
        <v>6</v>
      </c>
      <c r="E213" s="834" t="n">
        <v>6</v>
      </c>
      <c r="F213" s="834" t="n">
        <v>6</v>
      </c>
      <c r="G213" s="834" t="n">
        <v>6</v>
      </c>
      <c r="H213" s="834" t="n">
        <v>6</v>
      </c>
      <c r="I213" s="24" t="n"/>
      <c r="J213" s="24" t="n"/>
      <c r="K213" s="834" t="n">
        <v>6</v>
      </c>
      <c r="L213" s="834" t="n">
        <v>6</v>
      </c>
      <c r="M213" s="834" t="n">
        <v>6</v>
      </c>
      <c r="N213" s="834" t="n">
        <v>6</v>
      </c>
      <c r="O213" s="834" t="n">
        <v>6</v>
      </c>
      <c r="P213" s="24" t="n"/>
      <c r="Q213" s="24" t="n"/>
      <c r="R213" s="834" t="n">
        <v>6</v>
      </c>
      <c r="S213" s="834" t="n">
        <v>6</v>
      </c>
      <c r="T213" s="834" t="n">
        <v>6</v>
      </c>
      <c r="U213" s="834" t="n">
        <v>6</v>
      </c>
      <c r="V213" s="834" t="n">
        <v>6</v>
      </c>
      <c r="W213" s="24" t="n"/>
      <c r="X213" s="24" t="n"/>
      <c r="Y213" s="834" t="n">
        <v>6</v>
      </c>
      <c r="Z213" s="834" t="n">
        <v>6</v>
      </c>
      <c r="AA213" s="834" t="n">
        <v>6</v>
      </c>
      <c r="AB213" s="834" t="n">
        <v>6</v>
      </c>
      <c r="AC213" s="26" t="n"/>
      <c r="AD213" s="24" t="n"/>
      <c r="AE213" s="24" t="n"/>
      <c r="AF213" s="26" t="n"/>
      <c r="AG213" s="834" t="n">
        <v>6</v>
      </c>
      <c r="AH213" s="834" t="n">
        <v>6</v>
      </c>
      <c r="AI213" s="4" t="n"/>
      <c r="AK213" s="627" t="n"/>
      <c r="AL213" s="851" t="inlineStr">
        <is>
          <t>ADGG0208 ACTIVITATS ADMINISTRATIVES EN LA RELACIO AMB EL CLIENT [FORMA I CONTRACTE - ATURATS] · PER ASSIGNAR · GOOGLE matí 9:00-15:00 · 10/11–03/05 · 678 h</t>
        </is>
      </c>
    </row>
    <row r="214" ht="15.75" customHeight="1" s="757">
      <c r="A214" s="10" t="inlineStr">
        <is>
          <t>FIREFOX matí</t>
        </is>
      </c>
      <c r="B214" s="456" t="n"/>
      <c r="C214" s="456" t="n"/>
      <c r="D214" s="883" t="n">
        <v>5</v>
      </c>
      <c r="E214" s="873" t="n">
        <v>5</v>
      </c>
      <c r="F214" s="756" t="n"/>
      <c r="G214" s="756" t="n"/>
      <c r="H214" s="756" t="n"/>
      <c r="I214" s="24" t="n"/>
      <c r="J214" s="24" t="n"/>
      <c r="K214" s="756" t="n"/>
      <c r="L214" s="756" t="n"/>
      <c r="M214" s="756" t="n"/>
      <c r="N214" s="756" t="n"/>
      <c r="O214" s="756" t="n"/>
      <c r="P214" s="24" t="n"/>
      <c r="Q214" s="24" t="n"/>
      <c r="R214" s="884" t="n">
        <v>6</v>
      </c>
      <c r="S214" s="871" t="n">
        <v>6</v>
      </c>
      <c r="T214" s="871" t="n">
        <v>6</v>
      </c>
      <c r="U214" s="871" t="n">
        <v>6</v>
      </c>
      <c r="V214" s="871" t="n">
        <v>6</v>
      </c>
      <c r="W214" s="24" t="n"/>
      <c r="X214" s="24" t="n"/>
      <c r="Y214" s="871" t="n">
        <v>5</v>
      </c>
      <c r="Z214" s="871" t="n">
        <v>5</v>
      </c>
      <c r="AA214" s="756" t="n"/>
      <c r="AB214" s="756" t="n"/>
      <c r="AC214" s="26" t="n"/>
      <c r="AD214" s="24" t="n"/>
      <c r="AE214" s="24" t="n"/>
      <c r="AF214" s="26" t="n"/>
      <c r="AG214" s="756" t="n"/>
      <c r="AH214" s="756" t="n"/>
      <c r="AI214" s="4" t="n"/>
      <c r="AK214" s="774" t="n"/>
      <c r="AL214" s="885" t="inlineStr">
        <is>
          <t>FCOI16 Creació de continguts digitals i programació (ACTIC Nivell intermedi) (1a ed.) · MARIA · FIREFOX matí 9:00-15:00 · 22/02–02/03 · 40 h</t>
        </is>
      </c>
      <c r="AU214" s="874" t="inlineStr">
        <is>
          <t>FCOI19 Comunicació i col·laboració amb eines digitals (ACTIC Nivell intermedi) (2a ed.) · MARIA · FIREFOX matí 9:00-15:00 · 15/03–23/03 · 40 h</t>
        </is>
      </c>
    </row>
    <row r="215" ht="19.5" customHeight="1" s="757" thickBot="1">
      <c r="A215" s="14" t="inlineStr">
        <is>
          <t>COPILOT matí</t>
        </is>
      </c>
      <c r="B215" s="15" t="n"/>
      <c r="C215" s="15" t="n"/>
      <c r="D215" s="783" t="n"/>
      <c r="E215" s="778" t="n"/>
      <c r="F215" s="778" t="n"/>
      <c r="G215" s="778" t="n"/>
      <c r="H215" s="778" t="n"/>
      <c r="I215" s="35" t="n"/>
      <c r="J215" s="35" t="n"/>
      <c r="K215" s="778" t="n"/>
      <c r="L215" s="886" t="n">
        <v>6</v>
      </c>
      <c r="M215" s="887" t="n">
        <v>6</v>
      </c>
      <c r="N215" s="887" t="n">
        <v>6</v>
      </c>
      <c r="O215" s="887" t="n">
        <v>6</v>
      </c>
      <c r="P215" s="35" t="n"/>
      <c r="Q215" s="35" t="n"/>
      <c r="R215" s="887" t="n">
        <v>6</v>
      </c>
      <c r="S215" s="887" t="n">
        <v>6</v>
      </c>
      <c r="T215" s="887" t="n">
        <v>6</v>
      </c>
      <c r="U215" s="887" t="n">
        <v>6</v>
      </c>
      <c r="V215" s="887" t="n">
        <v>6</v>
      </c>
      <c r="W215" s="35" t="n"/>
      <c r="X215" s="35" t="n"/>
      <c r="Y215" s="887" t="n">
        <v>6</v>
      </c>
      <c r="Z215" s="887" t="n">
        <v>6</v>
      </c>
      <c r="AA215" s="887" t="n">
        <v>6</v>
      </c>
      <c r="AB215" s="887" t="n">
        <v>6</v>
      </c>
      <c r="AC215" s="27" t="n"/>
      <c r="AD215" s="35" t="n"/>
      <c r="AE215" s="35" t="n"/>
      <c r="AF215" s="27" t="n"/>
      <c r="AG215" s="887" t="n">
        <v>6</v>
      </c>
      <c r="AH215" s="887" t="n">
        <v>6</v>
      </c>
      <c r="AI215" s="4" t="n"/>
      <c r="AJ215" s="428" t="n"/>
      <c r="AK215" s="775" t="n"/>
      <c r="AL215" s="827" t="inlineStr">
        <is>
          <t>IMPE0110 MF0790 DRENATGE LIMFÀTIC ESTÈTIC MANUAL I MECÀNIC · LEIRE · COPILOT matí 9:00-15:00 · 09/03–06/04 · 114 h</t>
        </is>
      </c>
    </row>
    <row r="216" ht="16.5" customHeight="1" s="757" thickTop="1">
      <c r="A216" s="17" t="inlineStr">
        <is>
          <t>GOOGLE tarda</t>
        </is>
      </c>
      <c r="B216" s="18" t="n"/>
      <c r="C216" s="18" t="n"/>
      <c r="D216" s="888" t="n">
        <v>5</v>
      </c>
      <c r="E216" s="889" t="n">
        <v>5</v>
      </c>
      <c r="F216" s="889" t="n">
        <v>5</v>
      </c>
      <c r="G216" s="889" t="n">
        <v>5</v>
      </c>
      <c r="H216" s="756" t="n"/>
      <c r="I216" s="24" t="n"/>
      <c r="J216" s="24" t="n"/>
      <c r="K216" s="756" t="n"/>
      <c r="L216" s="756" t="n"/>
      <c r="M216" s="756" t="n"/>
      <c r="N216" s="756" t="n"/>
      <c r="O216" s="756" t="n"/>
      <c r="P216" s="24" t="n"/>
      <c r="Q216" s="24" t="n"/>
      <c r="R216" s="756" t="n"/>
      <c r="S216" s="756" t="n"/>
      <c r="T216" s="756" t="n"/>
      <c r="U216" s="756" t="n"/>
      <c r="V216" s="756" t="n"/>
      <c r="W216" s="24" t="n"/>
      <c r="X216" s="24" t="n"/>
      <c r="Y216" s="756" t="n"/>
      <c r="Z216" s="756" t="n"/>
      <c r="AA216" s="756" t="n"/>
      <c r="AB216" s="756" t="n"/>
      <c r="AC216" s="26" t="n"/>
      <c r="AD216" s="24" t="n"/>
      <c r="AE216" s="24" t="n"/>
      <c r="AF216" s="26" t="n"/>
      <c r="AG216" s="756" t="n"/>
      <c r="AH216" s="756" t="n"/>
      <c r="AI216" s="4" t="n"/>
      <c r="AL216" s="850" t="inlineStr">
        <is>
          <t>SANP0011 Tècniques de massatge (2a ed.) · ESTHER · GOOGLE tarda 15:00-20:00 · 01/03–04/03 · 20 h</t>
        </is>
      </c>
    </row>
    <row r="217" ht="15.75" customHeight="1" s="757">
      <c r="A217" s="10" t="inlineStr">
        <is>
          <t>FIREFOX tarda</t>
        </is>
      </c>
      <c r="B217" s="11" t="n"/>
      <c r="C217" s="11" t="n"/>
      <c r="D217" s="826" t="n">
        <v>6</v>
      </c>
      <c r="E217" s="826" t="n">
        <v>6</v>
      </c>
      <c r="F217" s="826" t="n">
        <v>6</v>
      </c>
      <c r="G217" s="826" t="n">
        <v>6</v>
      </c>
      <c r="H217" s="826" t="n">
        <v>6</v>
      </c>
      <c r="I217" s="24" t="n"/>
      <c r="J217" s="24" t="n"/>
      <c r="K217" s="826" t="n">
        <v>6</v>
      </c>
      <c r="L217" s="826" t="n">
        <v>6</v>
      </c>
      <c r="M217" s="826" t="n">
        <v>6</v>
      </c>
      <c r="N217" s="826" t="n">
        <v>6</v>
      </c>
      <c r="O217" s="826" t="n">
        <v>6</v>
      </c>
      <c r="P217" s="24" t="n"/>
      <c r="Q217" s="24" t="n"/>
      <c r="R217" s="826" t="n">
        <v>6</v>
      </c>
      <c r="S217" s="826" t="n">
        <v>6</v>
      </c>
      <c r="T217" s="826" t="n">
        <v>6</v>
      </c>
      <c r="U217" s="826" t="n">
        <v>6</v>
      </c>
      <c r="V217" s="826" t="n">
        <v>6</v>
      </c>
      <c r="W217" s="24" t="n"/>
      <c r="X217" s="24" t="n"/>
      <c r="Y217" s="826" t="n">
        <v>6</v>
      </c>
      <c r="Z217" s="826" t="n">
        <v>6</v>
      </c>
      <c r="AA217" s="826" t="n">
        <v>6</v>
      </c>
      <c r="AB217" s="826" t="n">
        <v>6</v>
      </c>
      <c r="AC217" s="26" t="n"/>
      <c r="AD217" s="24" t="n"/>
      <c r="AE217" s="24" t="n"/>
      <c r="AF217" s="26" t="n"/>
      <c r="AG217" s="826" t="n">
        <v>6</v>
      </c>
      <c r="AH217" s="826" t="n">
        <v>6</v>
      </c>
      <c r="AL217" s="847" t="inlineStr">
        <is>
          <t>ADGG0208 ACTIVITATS ADMINISTRATIVES EN LA RELACIO AMB EL CLIENT [CFCC - TREBALLADORS] · PER ASSIGNAR · FIREFOX tarda 15:00-21:00 · 26/10–16/04 · 678 h</t>
        </is>
      </c>
    </row>
    <row r="218" ht="16.5" customHeight="1" s="757" thickBot="1">
      <c r="A218" s="14" t="inlineStr">
        <is>
          <t>COPILOT tarda</t>
        </is>
      </c>
      <c r="B218" s="15" t="n"/>
      <c r="C218" s="15" t="n"/>
      <c r="D218" s="881" t="n">
        <v>6</v>
      </c>
      <c r="E218" s="881" t="n">
        <v>6</v>
      </c>
      <c r="F218" s="881" t="n">
        <v>5</v>
      </c>
      <c r="G218" s="881" t="n">
        <v>5</v>
      </c>
      <c r="H218" s="881" t="n">
        <v>5</v>
      </c>
      <c r="I218" s="35" t="n"/>
      <c r="J218" s="35" t="n"/>
      <c r="K218" s="881" t="n">
        <v>5</v>
      </c>
      <c r="L218" s="778" t="n"/>
      <c r="M218" s="778" t="n"/>
      <c r="N218" s="778" t="n"/>
      <c r="O218" s="778" t="n"/>
      <c r="P218" s="35" t="n"/>
      <c r="Q218" s="35" t="n"/>
      <c r="R218" s="778" t="n"/>
      <c r="S218" s="778" t="n"/>
      <c r="T218" s="778" t="n"/>
      <c r="U218" s="778" t="n"/>
      <c r="V218" s="778" t="n"/>
      <c r="W218" s="35" t="n"/>
      <c r="X218" s="35" t="n"/>
      <c r="Y218" s="778" t="n"/>
      <c r="Z218" s="778" t="n"/>
      <c r="AA218" s="778" t="n"/>
      <c r="AB218" s="778" t="n"/>
      <c r="AC218" s="27" t="n"/>
      <c r="AD218" s="35" t="n"/>
      <c r="AE218" s="35" t="n"/>
      <c r="AF218" s="27" t="n"/>
      <c r="AG218" s="778" t="n"/>
      <c r="AH218" s="778" t="n"/>
      <c r="AL218" s="890" t="inlineStr">
        <is>
          <t>IMPE0110 MF0063 MASSATGES ESTÈTIC MANUAL I MECÀNIC · LEIRE · COPILOT tarda 15:00-21:00 · 01/02–08/03 · 152 h</t>
        </is>
      </c>
    </row>
    <row r="219" ht="16.5" customHeight="1" s="757" thickTop="1">
      <c r="A219" s="10" t="inlineStr">
        <is>
          <t>TARRAGONA matí</t>
        </is>
      </c>
      <c r="B219" s="11" t="n"/>
      <c r="C219" s="11" t="n"/>
      <c r="D219" s="755" t="n"/>
      <c r="E219" s="755" t="n"/>
      <c r="F219" s="755" t="n"/>
      <c r="G219" s="123" t="n"/>
      <c r="H219" s="755" t="n"/>
      <c r="I219" s="24" t="n"/>
      <c r="J219" s="24" t="n"/>
      <c r="K219" s="755" t="n"/>
      <c r="L219" s="756" t="n"/>
      <c r="M219" s="756" t="n"/>
      <c r="N219" s="755" t="n"/>
      <c r="O219" s="755" t="n"/>
      <c r="P219" s="24" t="n"/>
      <c r="Q219" s="24" t="n"/>
      <c r="R219" s="755" t="n"/>
      <c r="S219" s="756" t="n"/>
      <c r="T219" s="756" t="n"/>
      <c r="U219" s="755" t="n"/>
      <c r="V219" s="755" t="n"/>
      <c r="W219" s="24" t="n"/>
      <c r="X219" s="24" t="n"/>
      <c r="Y219" s="755" t="n"/>
      <c r="Z219" s="756" t="n"/>
      <c r="AA219" s="756" t="n"/>
      <c r="AB219" s="755" t="n"/>
      <c r="AC219" s="28" t="n"/>
      <c r="AD219" s="24" t="n"/>
      <c r="AE219" s="24" t="n"/>
      <c r="AF219" s="28" t="n"/>
      <c r="AG219" s="756" t="n"/>
      <c r="AH219" s="756" t="n"/>
    </row>
    <row r="220" ht="15.75" customHeight="1" s="757">
      <c r="A220" s="12" t="inlineStr">
        <is>
          <t>TARRAGONA tarda</t>
        </is>
      </c>
      <c r="B220" s="11" t="n"/>
      <c r="C220" s="11" t="n"/>
      <c r="D220" s="756" t="n"/>
      <c r="E220" s="756" t="n"/>
      <c r="F220" s="756" t="n"/>
      <c r="G220" s="142" t="n"/>
      <c r="H220" s="756" t="n"/>
      <c r="I220" s="24" t="n"/>
      <c r="J220" s="24" t="n"/>
      <c r="K220" s="756" t="n"/>
      <c r="L220" s="756" t="n"/>
      <c r="M220" s="756" t="n"/>
      <c r="N220" s="756" t="n"/>
      <c r="O220" s="756" t="n"/>
      <c r="P220" s="24" t="n"/>
      <c r="Q220" s="24" t="n"/>
      <c r="R220" s="756" t="n"/>
      <c r="S220" s="756" t="n"/>
      <c r="T220" s="756" t="n"/>
      <c r="U220" s="756" t="n"/>
      <c r="V220" s="756" t="n"/>
      <c r="W220" s="24" t="n"/>
      <c r="X220" s="24" t="n"/>
      <c r="Y220" s="756" t="n"/>
      <c r="Z220" s="756" t="n"/>
      <c r="AA220" s="756" t="n"/>
      <c r="AB220" s="756" t="n"/>
      <c r="AC220" s="26" t="n"/>
      <c r="AD220" s="24" t="n"/>
      <c r="AE220" s="24" t="n"/>
      <c r="AF220" s="26" t="n"/>
      <c r="AG220" s="756" t="n"/>
      <c r="AH220" s="756" t="n"/>
    </row>
    <row r="221" ht="16.5" customHeight="1" s="757" thickBot="1">
      <c r="A221" s="12" t="inlineStr">
        <is>
          <t>ONLINE</t>
        </is>
      </c>
      <c r="B221" s="11" t="n"/>
      <c r="C221" s="11" t="n"/>
      <c r="D221" s="756" t="n"/>
      <c r="E221" s="756" t="n"/>
      <c r="F221" s="756" t="n"/>
      <c r="G221" s="142" t="n"/>
      <c r="H221" s="756" t="n"/>
      <c r="I221" s="35" t="n"/>
      <c r="J221" s="35" t="n"/>
      <c r="K221" s="756" t="n"/>
      <c r="L221" s="756" t="n"/>
      <c r="M221" s="756" t="n"/>
      <c r="N221" s="756" t="n"/>
      <c r="O221" s="756" t="n"/>
      <c r="P221" s="24" t="n"/>
      <c r="Q221" s="24" t="n"/>
      <c r="R221" s="756" t="n"/>
      <c r="S221" s="756" t="n"/>
      <c r="T221" s="756" t="n"/>
      <c r="U221" s="756" t="n"/>
      <c r="V221" s="756" t="n"/>
      <c r="W221" s="24" t="n"/>
      <c r="X221" s="24" t="n"/>
      <c r="Y221" s="756" t="n"/>
      <c r="Z221" s="756" t="n"/>
      <c r="AA221" s="756" t="n"/>
      <c r="AB221" s="756" t="n"/>
      <c r="AC221" s="26" t="n"/>
      <c r="AD221" s="24" t="n"/>
      <c r="AE221" s="24" t="n"/>
      <c r="AF221" s="26" t="n"/>
      <c r="AG221" s="756" t="n"/>
      <c r="AH221" s="756" t="n"/>
    </row>
    <row r="222" ht="15.75" customHeight="1" s="757" thickTop="1"/>
    <row r="223"/>
    <row r="224" ht="21.75" customHeight="1" s="757" thickBot="1">
      <c r="A224" s="854" t="inlineStr">
        <is>
          <t>ABRIL 2027</t>
        </is>
      </c>
      <c r="B224" s="156" t="n"/>
      <c r="C224" s="156" t="n"/>
      <c r="D224" s="156" t="n"/>
      <c r="E224" s="156" t="n"/>
      <c r="F224" s="156" t="n"/>
      <c r="G224" s="156" t="n"/>
      <c r="H224" s="156" t="n"/>
      <c r="I224" s="156" t="n"/>
      <c r="J224" s="156" t="n"/>
      <c r="K224" s="156" t="n"/>
      <c r="L224" s="156" t="n"/>
      <c r="M224" s="156" t="n"/>
      <c r="N224" s="156" t="n"/>
      <c r="O224" s="156" t="n"/>
      <c r="P224" s="156" t="n"/>
      <c r="Q224" s="156" t="n"/>
      <c r="R224" s="156" t="n"/>
      <c r="S224" s="156" t="n"/>
      <c r="T224" s="156" t="n"/>
      <c r="U224" s="156" t="n"/>
      <c r="V224" s="156" t="n"/>
      <c r="W224" s="156" t="n"/>
      <c r="X224" s="156" t="n"/>
      <c r="Y224" s="156" t="n"/>
      <c r="Z224" s="156" t="n"/>
      <c r="AA224" s="156" t="n"/>
      <c r="AB224" s="156" t="n"/>
      <c r="AC224" s="156" t="n"/>
      <c r="AD224" s="156" t="n"/>
      <c r="AE224" s="156" t="n"/>
      <c r="AF224" s="156" t="n"/>
      <c r="AG224" s="156" t="n"/>
      <c r="AH224" s="142" t="n"/>
      <c r="AI224" s="500" t="n">
        <v>22</v>
      </c>
    </row>
    <row r="225" ht="51" customHeight="1" s="757">
      <c r="A225" s="7" t="inlineStr">
        <is>
          <t>AULA</t>
        </is>
      </c>
      <c r="B225" s="8" t="inlineStr">
        <is>
          <t>INICI</t>
        </is>
      </c>
      <c r="C225" s="8" t="inlineStr">
        <is>
          <t>FINAL</t>
        </is>
      </c>
      <c r="D225" s="9" t="n">
        <v>46478</v>
      </c>
      <c r="E225" s="9" t="n">
        <v>46479</v>
      </c>
      <c r="F225" s="9" t="n">
        <v>46480</v>
      </c>
      <c r="G225" s="9" t="n">
        <v>46481</v>
      </c>
      <c r="H225" s="9" t="n">
        <v>46482</v>
      </c>
      <c r="I225" s="9" t="n">
        <v>46483</v>
      </c>
      <c r="J225" s="9" t="n">
        <v>46484</v>
      </c>
      <c r="K225" s="9" t="n">
        <v>46485</v>
      </c>
      <c r="L225" s="9" t="n">
        <v>46486</v>
      </c>
      <c r="M225" s="9" t="n">
        <v>46487</v>
      </c>
      <c r="N225" s="9" t="n">
        <v>46488</v>
      </c>
      <c r="O225" s="9" t="n">
        <v>46489</v>
      </c>
      <c r="P225" s="9" t="n">
        <v>46490</v>
      </c>
      <c r="Q225" s="9" t="n">
        <v>46491</v>
      </c>
      <c r="R225" s="9" t="n">
        <v>46492</v>
      </c>
      <c r="S225" s="9" t="n">
        <v>46493</v>
      </c>
      <c r="T225" s="9" t="n">
        <v>46494</v>
      </c>
      <c r="U225" s="9" t="n">
        <v>46495</v>
      </c>
      <c r="V225" s="9" t="n">
        <v>46496</v>
      </c>
      <c r="W225" s="9" t="n">
        <v>46497</v>
      </c>
      <c r="X225" s="9" t="n">
        <v>46498</v>
      </c>
      <c r="Y225" s="9" t="n">
        <v>46499</v>
      </c>
      <c r="Z225" s="9" t="n">
        <v>46500</v>
      </c>
      <c r="AA225" s="9" t="n">
        <v>46501</v>
      </c>
      <c r="AB225" s="9" t="n">
        <v>46502</v>
      </c>
      <c r="AC225" s="9" t="n">
        <v>46503</v>
      </c>
      <c r="AD225" s="9" t="n">
        <v>46504</v>
      </c>
      <c r="AE225" s="9" t="n">
        <v>46505</v>
      </c>
      <c r="AF225" s="9" t="n">
        <v>46506</v>
      </c>
      <c r="AG225" s="9" t="n">
        <v>46507</v>
      </c>
      <c r="AH225" s="9" t="n"/>
      <c r="AI225" s="4" t="n"/>
    </row>
    <row r="226" ht="15.75" customHeight="1" s="757">
      <c r="A226" s="10" t="inlineStr">
        <is>
          <t>GOOGLE MATINS</t>
        </is>
      </c>
      <c r="B226" s="11" t="n"/>
      <c r="C226" s="11" t="n"/>
      <c r="D226" s="834" t="n">
        <v>6</v>
      </c>
      <c r="E226" s="834" t="n">
        <v>6</v>
      </c>
      <c r="F226" s="24" t="n"/>
      <c r="G226" s="24" t="n"/>
      <c r="H226" s="834" t="n">
        <v>6</v>
      </c>
      <c r="I226" s="834" t="n">
        <v>6</v>
      </c>
      <c r="J226" s="834" t="n">
        <v>6</v>
      </c>
      <c r="K226" s="834" t="n">
        <v>6</v>
      </c>
      <c r="L226" s="834" t="n">
        <v>6</v>
      </c>
      <c r="M226" s="779" t="n"/>
      <c r="N226" s="779" t="n"/>
      <c r="O226" s="834" t="n">
        <v>6</v>
      </c>
      <c r="P226" s="834" t="n">
        <v>6</v>
      </c>
      <c r="Q226" s="834" t="n">
        <v>6</v>
      </c>
      <c r="R226" s="834" t="n">
        <v>6</v>
      </c>
      <c r="S226" s="834" t="n">
        <v>6</v>
      </c>
      <c r="T226" s="779" t="n"/>
      <c r="U226" s="779" t="n"/>
      <c r="V226" s="834" t="n">
        <v>6</v>
      </c>
      <c r="W226" s="834" t="n">
        <v>6</v>
      </c>
      <c r="X226" s="834" t="n">
        <v>6</v>
      </c>
      <c r="Y226" s="834" t="n">
        <v>6</v>
      </c>
      <c r="Z226" s="834" t="n">
        <v>6</v>
      </c>
      <c r="AA226" s="779" t="n"/>
      <c r="AB226" s="779" t="n"/>
      <c r="AC226" s="834" t="n">
        <v>6</v>
      </c>
      <c r="AD226" s="834" t="n">
        <v>6</v>
      </c>
      <c r="AE226" s="834" t="n">
        <v>6</v>
      </c>
      <c r="AF226" s="834" t="n">
        <v>6</v>
      </c>
      <c r="AG226" s="834" t="n">
        <v>6</v>
      </c>
      <c r="AH226" s="756" t="n"/>
      <c r="AI226" s="4" t="n"/>
      <c r="AK226" s="627" t="n"/>
      <c r="AL226" s="851" t="inlineStr">
        <is>
          <t>ADGG0208 ACTIVITATS ADMINISTRATIVES EN LA RELACIO AMB EL CLIENT [FORMA I CONTRACTE - ATURATS] · PER ASSIGNAR · GOOGLE matí 9:00-15:00 · 10/11–03/05 · 678 h</t>
        </is>
      </c>
    </row>
    <row r="227" ht="15.75" customHeight="1" s="757">
      <c r="A227" s="10" t="inlineStr">
        <is>
          <t>FIREFOX matí</t>
        </is>
      </c>
      <c r="B227" s="456" t="n"/>
      <c r="C227" s="456" t="n"/>
      <c r="D227" s="782" t="n"/>
      <c r="E227" s="756" t="n"/>
      <c r="F227" s="24" t="n"/>
      <c r="G227" s="24" t="n"/>
      <c r="H227" s="756" t="n"/>
      <c r="I227" s="756" t="n"/>
      <c r="J227" s="756" t="n"/>
      <c r="K227" s="756" t="n"/>
      <c r="L227" s="756" t="n"/>
      <c r="M227" s="779" t="n"/>
      <c r="N227" s="779" t="n"/>
      <c r="O227" s="872" t="n">
        <v>6</v>
      </c>
      <c r="P227" s="873" t="n">
        <v>6</v>
      </c>
      <c r="Q227" s="873" t="n">
        <v>6</v>
      </c>
      <c r="R227" s="873" t="n">
        <v>6</v>
      </c>
      <c r="S227" s="873" t="n">
        <v>6</v>
      </c>
      <c r="T227" s="779" t="n"/>
      <c r="U227" s="779" t="n"/>
      <c r="V227" s="873" t="n">
        <v>5</v>
      </c>
      <c r="W227" s="873" t="n">
        <v>5</v>
      </c>
      <c r="X227" s="756" t="n"/>
      <c r="Y227" s="756" t="n"/>
      <c r="Z227" s="756" t="n"/>
      <c r="AA227" s="779" t="n"/>
      <c r="AB227" s="779" t="n"/>
      <c r="AC227" s="756" t="n"/>
      <c r="AD227" s="756" t="n"/>
      <c r="AE227" s="756" t="n"/>
      <c r="AF227" s="756" t="n"/>
      <c r="AG227" s="756" t="n"/>
      <c r="AH227" s="756" t="n"/>
      <c r="AI227" s="4" t="n"/>
      <c r="AK227" s="774" t="n"/>
      <c r="AL227" s="875" t="inlineStr">
        <is>
          <t>FCOI16 Creació de continguts digitals i programació (ACTIC Nivell intermedi) (2a ed.) · MARIA · FIREFOX matí 9:00-15:00 · 12/04–20/04 · 40 h</t>
        </is>
      </c>
    </row>
    <row r="228" ht="19.5" customHeight="1" s="757" thickBot="1">
      <c r="A228" s="14" t="inlineStr">
        <is>
          <t>COPILOT matí</t>
        </is>
      </c>
      <c r="B228" s="15" t="n"/>
      <c r="C228" s="15" t="n"/>
      <c r="D228" s="887" t="n">
        <v>6</v>
      </c>
      <c r="E228" s="887" t="n">
        <v>6</v>
      </c>
      <c r="F228" s="35" t="n"/>
      <c r="G228" s="35" t="n"/>
      <c r="H228" s="887" t="n">
        <v>6</v>
      </c>
      <c r="I228" s="887" t="n">
        <v>6</v>
      </c>
      <c r="J228" s="891" t="n">
        <v>6</v>
      </c>
      <c r="K228" s="892" t="n">
        <v>6</v>
      </c>
      <c r="L228" s="892" t="n">
        <v>6</v>
      </c>
      <c r="M228" s="780" t="n"/>
      <c r="N228" s="780" t="n"/>
      <c r="O228" s="892" t="n">
        <v>6</v>
      </c>
      <c r="P228" s="892" t="n">
        <v>6</v>
      </c>
      <c r="Q228" s="892" t="n">
        <v>6</v>
      </c>
      <c r="R228" s="892" t="n">
        <v>6</v>
      </c>
      <c r="S228" s="892" t="n">
        <v>6</v>
      </c>
      <c r="T228" s="780" t="n"/>
      <c r="U228" s="780" t="n"/>
      <c r="V228" s="892" t="n">
        <v>6</v>
      </c>
      <c r="W228" s="892" t="n">
        <v>6</v>
      </c>
      <c r="X228" s="892" t="n">
        <v>6</v>
      </c>
      <c r="Y228" s="892" t="n">
        <v>6</v>
      </c>
      <c r="Z228" s="892" t="n">
        <v>6</v>
      </c>
      <c r="AA228" s="780" t="n"/>
      <c r="AB228" s="780" t="n"/>
      <c r="AC228" s="892" t="n">
        <v>6</v>
      </c>
      <c r="AD228" s="892" t="n">
        <v>6</v>
      </c>
      <c r="AE228" s="892" t="n">
        <v>6</v>
      </c>
      <c r="AF228" s="892" t="n">
        <v>6</v>
      </c>
      <c r="AG228" s="892" t="n">
        <v>6</v>
      </c>
      <c r="AH228" s="778" t="n"/>
      <c r="AI228" s="4" t="n"/>
      <c r="AJ228" s="428" t="n"/>
      <c r="AK228" s="775" t="n"/>
      <c r="AL228" s="893" t="inlineStr">
        <is>
          <t>IMPE0110 MF0790 DRENATGE LIMFÀTIC ESTÈTIC MANUAL I MECÀNIC · LEIRE · COPILOT matí 9:00-15:00 · 09/03–06/04 · 114 h</t>
        </is>
      </c>
      <c r="AU228" s="828" t="inlineStr">
        <is>
          <t>IMPE110 MF0791 MASSATGES ESTÈTICS AMB TÈCNIQUES PER PRESSIÓ · LEIRE · COPILOT matí 9:00-15:00 · 07/04–03/05 · 114 h</t>
        </is>
      </c>
    </row>
    <row r="229" ht="16.5" customHeight="1" s="757" thickTop="1">
      <c r="A229" s="17" t="inlineStr">
        <is>
          <t>GOOGLE tarda</t>
        </is>
      </c>
      <c r="B229" s="18" t="n"/>
      <c r="C229" s="18" t="n"/>
      <c r="D229" s="755" t="n"/>
      <c r="E229" s="756" t="n"/>
      <c r="F229" s="24" t="n"/>
      <c r="G229" s="24" t="n"/>
      <c r="H229" s="756" t="n"/>
      <c r="I229" s="756" t="n"/>
      <c r="J229" s="756" t="n"/>
      <c r="K229" s="756" t="n"/>
      <c r="L229" s="756" t="n"/>
      <c r="M229" s="779" t="n"/>
      <c r="N229" s="779" t="n"/>
      <c r="O229" s="756" t="n"/>
      <c r="P229" s="756" t="n"/>
      <c r="Q229" s="756" t="n"/>
      <c r="R229" s="756" t="n"/>
      <c r="S229" s="756" t="n"/>
      <c r="T229" s="779" t="n"/>
      <c r="U229" s="779" t="n"/>
      <c r="V229" s="756" t="n"/>
      <c r="W229" s="756" t="n"/>
      <c r="X229" s="756" t="n"/>
      <c r="Y229" s="756" t="n"/>
      <c r="Z229" s="756" t="n"/>
      <c r="AA229" s="779" t="n"/>
      <c r="AB229" s="779" t="n"/>
      <c r="AC229" s="756" t="n"/>
      <c r="AD229" s="756" t="n"/>
      <c r="AE229" s="756" t="n"/>
      <c r="AF229" s="756" t="n"/>
      <c r="AG229" s="756" t="n"/>
      <c r="AH229" s="756" t="n"/>
      <c r="AI229" s="4" t="n"/>
    </row>
    <row r="230" ht="15.75" customHeight="1" s="757">
      <c r="A230" s="10" t="inlineStr">
        <is>
          <t>FIREFOX tarda</t>
        </is>
      </c>
      <c r="B230" s="11" t="n"/>
      <c r="C230" s="11" t="n"/>
      <c r="D230" s="826" t="n">
        <v>6</v>
      </c>
      <c r="E230" s="826" t="n">
        <v>6</v>
      </c>
      <c r="F230" s="24" t="n"/>
      <c r="G230" s="24" t="n"/>
      <c r="H230" s="826" t="n">
        <v>6</v>
      </c>
      <c r="I230" s="826" t="n">
        <v>6</v>
      </c>
      <c r="J230" s="826" t="n">
        <v>6</v>
      </c>
      <c r="K230" s="826" t="n">
        <v>6</v>
      </c>
      <c r="L230" s="826" t="n">
        <v>6</v>
      </c>
      <c r="M230" s="779" t="n"/>
      <c r="N230" s="779" t="n"/>
      <c r="O230" s="826" t="n">
        <v>6</v>
      </c>
      <c r="P230" s="826" t="n">
        <v>6</v>
      </c>
      <c r="Q230" s="826" t="n">
        <v>6</v>
      </c>
      <c r="R230" s="826" t="n">
        <v>6</v>
      </c>
      <c r="S230" s="826" t="n">
        <v>6</v>
      </c>
      <c r="T230" s="779" t="n"/>
      <c r="U230" s="779" t="n"/>
      <c r="V230" s="756" t="n"/>
      <c r="W230" s="756" t="n"/>
      <c r="X230" s="756" t="n"/>
      <c r="Y230" s="756" t="n"/>
      <c r="Z230" s="756" t="n"/>
      <c r="AA230" s="779" t="n"/>
      <c r="AB230" s="779" t="n"/>
      <c r="AC230" s="756" t="n"/>
      <c r="AD230" s="756" t="n"/>
      <c r="AE230" s="756" t="n"/>
      <c r="AF230" s="756" t="n"/>
      <c r="AG230" s="756" t="n"/>
      <c r="AH230" s="756" t="n"/>
      <c r="AL230" s="847" t="inlineStr">
        <is>
          <t>ADGG0208 ACTIVITATS ADMINISTRATIVES EN LA RELACIO AMB EL CLIENT [CFCC - TREBALLADORS] · PER ASSIGNAR · FIREFOX tarda 15:00-21:00 · 26/10–16/04 · 678 h</t>
        </is>
      </c>
    </row>
    <row r="231" ht="16.5" customHeight="1" s="757" thickBot="1">
      <c r="A231" s="14" t="inlineStr">
        <is>
          <t>COPILOT tarda</t>
        </is>
      </c>
      <c r="B231" s="15" t="n"/>
      <c r="C231" s="15" t="n"/>
      <c r="D231" s="783" t="n"/>
      <c r="E231" s="778" t="n"/>
      <c r="F231" s="780" t="n"/>
      <c r="G231" s="780" t="n"/>
      <c r="H231" s="778" t="n"/>
      <c r="I231" s="778" t="n"/>
      <c r="J231" s="778" t="n"/>
      <c r="K231" s="778" t="n"/>
      <c r="L231" s="778" t="n"/>
      <c r="M231" s="780" t="n"/>
      <c r="N231" s="780" t="n"/>
      <c r="O231" s="778" t="n"/>
      <c r="P231" s="778" t="n"/>
      <c r="Q231" s="778" t="n"/>
      <c r="R231" s="778" t="n"/>
      <c r="S231" s="778" t="n"/>
      <c r="T231" s="780" t="n"/>
      <c r="U231" s="780" t="n"/>
      <c r="V231" s="778" t="n"/>
      <c r="W231" s="778" t="n"/>
      <c r="X231" s="778" t="n"/>
      <c r="Y231" s="778" t="n"/>
      <c r="Z231" s="778" t="n"/>
      <c r="AA231" s="780" t="n"/>
      <c r="AB231" s="780" t="n"/>
      <c r="AC231" s="778" t="n"/>
      <c r="AD231" s="778" t="n"/>
      <c r="AE231" s="778" t="n"/>
      <c r="AF231" s="778" t="n"/>
      <c r="AG231" s="778" t="n"/>
      <c r="AH231" s="778" t="n"/>
    </row>
    <row r="232" ht="16.5" customHeight="1" s="757" thickTop="1">
      <c r="A232" s="10" t="inlineStr">
        <is>
          <t>TARRAGONA matí</t>
        </is>
      </c>
      <c r="B232" s="11" t="n"/>
      <c r="C232" s="11" t="n"/>
      <c r="D232" s="755" t="n"/>
      <c r="E232" s="755" t="n"/>
      <c r="F232" s="779" t="n"/>
      <c r="G232" s="781" t="n"/>
      <c r="H232" s="755" t="n"/>
      <c r="I232" s="755" t="n"/>
      <c r="J232" s="756" t="n"/>
      <c r="K232" s="755" t="n"/>
      <c r="L232" s="756" t="n"/>
      <c r="M232" s="779" t="n"/>
      <c r="N232" s="781" t="n"/>
      <c r="O232" s="755" t="n"/>
      <c r="P232" s="756" t="n"/>
      <c r="Q232" s="756" t="n"/>
      <c r="R232" s="755" t="n"/>
      <c r="S232" s="756" t="n"/>
      <c r="T232" s="779" t="n"/>
      <c r="U232" s="781" t="n"/>
      <c r="V232" s="755" t="n"/>
      <c r="W232" s="756" t="n"/>
      <c r="X232" s="756" t="n"/>
      <c r="Y232" s="755" t="n"/>
      <c r="Z232" s="756" t="n"/>
      <c r="AA232" s="779" t="n"/>
      <c r="AB232" s="781" t="n"/>
      <c r="AC232" s="755" t="n"/>
      <c r="AD232" s="756" t="n"/>
      <c r="AE232" s="756" t="n"/>
      <c r="AF232" s="755" t="n"/>
      <c r="AG232" s="756" t="n"/>
      <c r="AH232" s="756" t="n"/>
    </row>
    <row r="233" ht="15.75" customHeight="1" s="757">
      <c r="A233" s="12" t="inlineStr">
        <is>
          <t>TARRAGONA tarda</t>
        </is>
      </c>
      <c r="B233" s="11" t="n"/>
      <c r="C233" s="11" t="n"/>
      <c r="D233" s="756" t="n"/>
      <c r="E233" s="756" t="n"/>
      <c r="F233" s="779" t="n"/>
      <c r="G233" s="779" t="n"/>
      <c r="H233" s="756" t="n"/>
      <c r="I233" s="756" t="n"/>
      <c r="J233" s="756" t="n"/>
      <c r="K233" s="756" t="n"/>
      <c r="L233" s="756" t="n"/>
      <c r="M233" s="779" t="n"/>
      <c r="N233" s="779" t="n"/>
      <c r="O233" s="756" t="n"/>
      <c r="P233" s="756" t="n"/>
      <c r="Q233" s="756" t="n"/>
      <c r="R233" s="756" t="n"/>
      <c r="S233" s="756" t="n"/>
      <c r="T233" s="779" t="n"/>
      <c r="U233" s="779" t="n"/>
      <c r="V233" s="756" t="n"/>
      <c r="W233" s="756" t="n"/>
      <c r="X233" s="756" t="n"/>
      <c r="Y233" s="756" t="n"/>
      <c r="Z233" s="756" t="n"/>
      <c r="AA233" s="779" t="n"/>
      <c r="AB233" s="779" t="n"/>
      <c r="AC233" s="756" t="n"/>
      <c r="AD233" s="756" t="n"/>
      <c r="AE233" s="756" t="n"/>
      <c r="AF233" s="756" t="n"/>
      <c r="AG233" s="756" t="n"/>
      <c r="AH233" s="756" t="n"/>
    </row>
    <row r="234" ht="15.75" customHeight="1" s="757">
      <c r="A234" s="12" t="inlineStr">
        <is>
          <t>ONLINE</t>
        </is>
      </c>
      <c r="B234" s="11" t="n"/>
      <c r="C234" s="11" t="n"/>
      <c r="D234" s="756" t="n"/>
      <c r="E234" s="756" t="n"/>
      <c r="F234" s="779" t="n"/>
      <c r="G234" s="779" t="n"/>
      <c r="H234" s="756" t="n"/>
      <c r="I234" s="756" t="n"/>
      <c r="J234" s="756" t="n"/>
      <c r="K234" s="756" t="n"/>
      <c r="L234" s="756" t="n"/>
      <c r="M234" s="779" t="n"/>
      <c r="N234" s="779" t="n"/>
      <c r="O234" s="756" t="n"/>
      <c r="P234" s="756" t="n"/>
      <c r="Q234" s="756" t="n"/>
      <c r="R234" s="756" t="n"/>
      <c r="S234" s="756" t="n"/>
      <c r="T234" s="779" t="n"/>
      <c r="U234" s="779" t="n"/>
      <c r="V234" s="756" t="n"/>
      <c r="W234" s="756" t="n"/>
      <c r="X234" s="756" t="n"/>
      <c r="Y234" s="756" t="n"/>
      <c r="Z234" s="756" t="n"/>
      <c r="AA234" s="779" t="n"/>
      <c r="AB234" s="779" t="n"/>
      <c r="AC234" s="756" t="n"/>
      <c r="AD234" s="756" t="n"/>
      <c r="AE234" s="756" t="n"/>
      <c r="AF234" s="756" t="n"/>
      <c r="AG234" s="756" t="n"/>
      <c r="AH234" s="756" t="n"/>
    </row>
    <row r="235"/>
    <row r="236"/>
    <row r="237"/>
    <row r="238" ht="21.75" customHeight="1" s="757" thickBot="1">
      <c r="A238" s="854" t="inlineStr">
        <is>
          <t>MAIG 2027</t>
        </is>
      </c>
      <c r="B238" s="156" t="n"/>
      <c r="C238" s="156" t="n"/>
      <c r="D238" s="156" t="n"/>
      <c r="E238" s="156" t="n"/>
      <c r="F238" s="156" t="n"/>
      <c r="G238" s="156" t="n"/>
      <c r="H238" s="156" t="n"/>
      <c r="I238" s="156" t="n"/>
      <c r="J238" s="156" t="n"/>
      <c r="K238" s="156" t="n"/>
      <c r="L238" s="156" t="n"/>
      <c r="M238" s="156" t="n"/>
      <c r="N238" s="156" t="n"/>
      <c r="O238" s="156" t="n"/>
      <c r="P238" s="156" t="n"/>
      <c r="Q238" s="156" t="n"/>
      <c r="R238" s="156" t="n"/>
      <c r="S238" s="156" t="n"/>
      <c r="T238" s="156" t="n"/>
      <c r="U238" s="156" t="n"/>
      <c r="V238" s="156" t="n"/>
      <c r="W238" s="156" t="n"/>
      <c r="X238" s="156" t="n"/>
      <c r="Y238" s="156" t="n"/>
      <c r="Z238" s="156" t="n"/>
      <c r="AA238" s="156" t="n"/>
      <c r="AB238" s="156" t="n"/>
      <c r="AC238" s="156" t="n"/>
      <c r="AD238" s="156" t="n"/>
      <c r="AE238" s="156" t="n"/>
      <c r="AF238" s="156" t="n"/>
      <c r="AG238" s="156" t="n"/>
      <c r="AH238" s="142" t="n"/>
      <c r="AI238" s="500" t="n">
        <v>21</v>
      </c>
    </row>
    <row r="239" ht="51" customHeight="1" s="757">
      <c r="A239" s="7" t="inlineStr">
        <is>
          <t>AULA</t>
        </is>
      </c>
      <c r="B239" s="8" t="inlineStr">
        <is>
          <t>INICI</t>
        </is>
      </c>
      <c r="C239" s="8" t="inlineStr">
        <is>
          <t>FINAL</t>
        </is>
      </c>
      <c r="D239" s="9" t="n">
        <v>46508</v>
      </c>
      <c r="E239" s="9" t="n">
        <v>46509</v>
      </c>
      <c r="F239" s="9" t="n">
        <v>46510</v>
      </c>
      <c r="G239" s="9" t="n">
        <v>46511</v>
      </c>
      <c r="H239" s="9" t="n">
        <v>46512</v>
      </c>
      <c r="I239" s="9" t="n">
        <v>46513</v>
      </c>
      <c r="J239" s="9" t="n">
        <v>46514</v>
      </c>
      <c r="K239" s="9" t="n">
        <v>46515</v>
      </c>
      <c r="L239" s="9" t="n">
        <v>46516</v>
      </c>
      <c r="M239" s="9" t="n">
        <v>46517</v>
      </c>
      <c r="N239" s="9" t="n">
        <v>46518</v>
      </c>
      <c r="O239" s="9" t="n">
        <v>46519</v>
      </c>
      <c r="P239" s="9" t="n">
        <v>46520</v>
      </c>
      <c r="Q239" s="9" t="n">
        <v>46521</v>
      </c>
      <c r="R239" s="9" t="n">
        <v>46522</v>
      </c>
      <c r="S239" s="9" t="n">
        <v>46523</v>
      </c>
      <c r="T239" s="9" t="n">
        <v>46524</v>
      </c>
      <c r="U239" s="9" t="n">
        <v>46525</v>
      </c>
      <c r="V239" s="9" t="n">
        <v>46526</v>
      </c>
      <c r="W239" s="9" t="n">
        <v>46527</v>
      </c>
      <c r="X239" s="9" t="n">
        <v>46528</v>
      </c>
      <c r="Y239" s="9" t="n">
        <v>46529</v>
      </c>
      <c r="Z239" s="9" t="n">
        <v>46530</v>
      </c>
      <c r="AA239" s="9" t="n">
        <v>46531</v>
      </c>
      <c r="AB239" s="9" t="n">
        <v>46532</v>
      </c>
      <c r="AC239" s="9" t="n">
        <v>46533</v>
      </c>
      <c r="AD239" s="9" t="n">
        <v>46534</v>
      </c>
      <c r="AE239" s="9" t="n">
        <v>46535</v>
      </c>
      <c r="AF239" s="9" t="n">
        <v>46536</v>
      </c>
      <c r="AG239" s="9" t="n">
        <v>46537</v>
      </c>
      <c r="AH239" s="9" t="n">
        <v>46538</v>
      </c>
      <c r="AI239" s="4" t="n"/>
    </row>
    <row r="240" ht="15.75" customHeight="1" s="757">
      <c r="A240" s="10" t="inlineStr">
        <is>
          <t>GOOGLE MATINS</t>
        </is>
      </c>
      <c r="B240" s="11" t="n"/>
      <c r="C240" s="11" t="n"/>
      <c r="D240" s="26" t="n"/>
      <c r="E240" s="779" t="n"/>
      <c r="F240" s="834" t="n">
        <v>6</v>
      </c>
      <c r="G240" s="806" t="n">
        <v>6</v>
      </c>
      <c r="H240" s="807" t="n">
        <v>6</v>
      </c>
      <c r="I240" s="807" t="n">
        <v>6</v>
      </c>
      <c r="J240" s="807" t="n">
        <v>6</v>
      </c>
      <c r="K240" s="779" t="n"/>
      <c r="L240" s="779" t="n"/>
      <c r="M240" s="807" t="n">
        <v>6</v>
      </c>
      <c r="N240" s="807" t="n">
        <v>6</v>
      </c>
      <c r="O240" s="807" t="n">
        <v>6</v>
      </c>
      <c r="P240" s="807" t="n">
        <v>6</v>
      </c>
      <c r="Q240" s="807" t="n">
        <v>6</v>
      </c>
      <c r="R240" s="779" t="n"/>
      <c r="S240" s="779" t="n"/>
      <c r="T240" s="807" t="n">
        <v>6</v>
      </c>
      <c r="U240" s="807" t="n">
        <v>6</v>
      </c>
      <c r="V240" s="807" t="n">
        <v>5</v>
      </c>
      <c r="W240" s="807" t="n">
        <v>5</v>
      </c>
      <c r="X240" s="756" t="n"/>
      <c r="Y240" s="779" t="n"/>
      <c r="Z240" s="779" t="n"/>
      <c r="AA240" s="894" t="n">
        <v>6</v>
      </c>
      <c r="AB240" s="895" t="n">
        <v>6</v>
      </c>
      <c r="AC240" s="895" t="n">
        <v>6</v>
      </c>
      <c r="AD240" s="895" t="n">
        <v>6</v>
      </c>
      <c r="AE240" s="895" t="n">
        <v>6</v>
      </c>
      <c r="AF240" s="779" t="n"/>
      <c r="AG240" s="779" t="n"/>
      <c r="AH240" s="895" t="n">
        <v>5</v>
      </c>
      <c r="AI240" s="4" t="n"/>
      <c r="AK240" s="627" t="n"/>
      <c r="AL240" s="851" t="inlineStr">
        <is>
          <t>ADGG0208 ACTIVITATS ADMINISTRATIVES EN LA RELACIO AMB EL CLIENT [FORMA I CONTRACTE - ATURATS] · PER ASSIGNAR · GOOGLE matí 9:00-15:00 · 10/11–03/05 · 678 h</t>
        </is>
      </c>
      <c r="AU240" s="896" t="inlineStr">
        <is>
          <t>FCOI20 Comunicació i col·laboració amb eines digitals (ACTIC Nivell avançat) · MARIA · GOOGLE matí 9:00-15:00 · 24/05–01/06 · 40 h</t>
        </is>
      </c>
      <c r="BD240" s="813" t="inlineStr">
        <is>
          <t>IMPE0110 MF0792 TÈCNIQUES SENSORIALS ESTÈTIQUES · LEIRE · GOOGLE matí 9:00-15:00 · 04/05–20/05 · 76 h</t>
        </is>
      </c>
    </row>
    <row r="241" ht="15.75" customHeight="1" s="757">
      <c r="A241" s="10" t="inlineStr">
        <is>
          <t>FIREFOX matí</t>
        </is>
      </c>
      <c r="B241" s="456" t="n"/>
      <c r="C241" s="456" t="n"/>
      <c r="D241" s="218" t="n"/>
      <c r="E241" s="779" t="n"/>
      <c r="F241" s="855" t="n">
        <v>5</v>
      </c>
      <c r="G241" s="856" t="n">
        <v>5</v>
      </c>
      <c r="H241" s="856" t="n">
        <v>5</v>
      </c>
      <c r="I241" s="856" t="n">
        <v>5</v>
      </c>
      <c r="J241" s="856" t="n">
        <v>5</v>
      </c>
      <c r="K241" s="779" t="n"/>
      <c r="L241" s="779" t="n"/>
      <c r="M241" s="756" t="n"/>
      <c r="N241" s="756" t="n"/>
      <c r="O241" s="756" t="n"/>
      <c r="P241" s="756" t="n"/>
      <c r="Q241" s="756" t="n"/>
      <c r="R241" s="779" t="n"/>
      <c r="S241" s="779" t="n"/>
      <c r="T241" s="756" t="n"/>
      <c r="U241" s="756" t="n"/>
      <c r="V241" s="756" t="n"/>
      <c r="W241" s="756" t="n"/>
      <c r="X241" s="756" t="n"/>
      <c r="Y241" s="779" t="n"/>
      <c r="Z241" s="779" t="n"/>
      <c r="AA241" s="756" t="n"/>
      <c r="AB241" s="756" t="n"/>
      <c r="AC241" s="756" t="n"/>
      <c r="AD241" s="756" t="n"/>
      <c r="AE241" s="756" t="n"/>
      <c r="AF241" s="779" t="n"/>
      <c r="AG241" s="779" t="n"/>
      <c r="AH241" s="756" t="n"/>
      <c r="AI241" s="4" t="n"/>
      <c r="AK241" s="774" t="n"/>
      <c r="AL241" s="857" t="inlineStr">
        <is>
          <t>IFCT117 Introducció a la intel·ligència artificial (2a ed.) · MARIA · FIREFOX matí 9:00-14:00 · 03/05–07/05 · 25 h</t>
        </is>
      </c>
    </row>
    <row r="242" ht="19.5" customHeight="1" s="757" thickBot="1">
      <c r="A242" s="14" t="inlineStr">
        <is>
          <t>COPILOT matí</t>
        </is>
      </c>
      <c r="B242" s="15" t="n"/>
      <c r="C242" s="15" t="n"/>
      <c r="D242" s="596" t="n"/>
      <c r="E242" s="780" t="n"/>
      <c r="F242" s="892" t="n">
        <v>6</v>
      </c>
      <c r="G242" s="778" t="n"/>
      <c r="H242" s="778" t="n"/>
      <c r="I242" s="778" t="n"/>
      <c r="J242" s="778" t="n"/>
      <c r="K242" s="780" t="n"/>
      <c r="L242" s="780" t="n"/>
      <c r="M242" s="778" t="n"/>
      <c r="N242" s="778" t="n"/>
      <c r="O242" s="778" t="n"/>
      <c r="P242" s="778" t="n"/>
      <c r="Q242" s="778" t="n"/>
      <c r="R242" s="780" t="n"/>
      <c r="S242" s="780" t="n"/>
      <c r="T242" s="778" t="n"/>
      <c r="U242" s="778" t="n"/>
      <c r="V242" s="778" t="n"/>
      <c r="W242" s="778" t="n"/>
      <c r="X242" s="778" t="n"/>
      <c r="Y242" s="780" t="n"/>
      <c r="Z242" s="780" t="n"/>
      <c r="AA242" s="778" t="n"/>
      <c r="AB242" s="778" t="n"/>
      <c r="AC242" s="778" t="n"/>
      <c r="AD242" s="778" t="n"/>
      <c r="AE242" s="778" t="n"/>
      <c r="AF242" s="780" t="n"/>
      <c r="AG242" s="780" t="n"/>
      <c r="AH242" s="778" t="n"/>
      <c r="AI242" s="4" t="n"/>
      <c r="AJ242" s="428" t="n"/>
      <c r="AK242" s="775" t="n"/>
      <c r="AL242" s="847" t="inlineStr">
        <is>
          <t>IMPE110 MF0791 MASSATGES ESTÈTICS AMB TÈCNIQUES PER PRESSIÓ · LEIRE · COPILOT matí 9:00-15:00 · 07/04–03/05 · 114 h</t>
        </is>
      </c>
    </row>
    <row r="243" ht="16.5" customHeight="1" s="757" thickTop="1">
      <c r="A243" s="17" t="inlineStr">
        <is>
          <t>GOOGLE tarda</t>
        </is>
      </c>
      <c r="B243" s="18" t="n"/>
      <c r="C243" s="18" t="n"/>
      <c r="D243" s="28" t="n"/>
      <c r="E243" s="779" t="n"/>
      <c r="F243" s="756" t="n"/>
      <c r="G243" s="756" t="n"/>
      <c r="H243" s="756" t="n"/>
      <c r="I243" s="756" t="n"/>
      <c r="J243" s="756" t="n"/>
      <c r="K243" s="779" t="n"/>
      <c r="L243" s="779" t="n"/>
      <c r="M243" s="756" t="n"/>
      <c r="N243" s="756" t="n"/>
      <c r="O243" s="756" t="n"/>
      <c r="P243" s="756" t="n"/>
      <c r="Q243" s="756" t="n"/>
      <c r="R243" s="779" t="n"/>
      <c r="S243" s="779" t="n"/>
      <c r="T243" s="756" t="n"/>
      <c r="U243" s="756" t="n"/>
      <c r="V243" s="756" t="n"/>
      <c r="W243" s="756" t="n"/>
      <c r="X243" s="756" t="n"/>
      <c r="Y243" s="779" t="n"/>
      <c r="Z243" s="779" t="n"/>
      <c r="AA243" s="756" t="n"/>
      <c r="AB243" s="756" t="n"/>
      <c r="AC243" s="756" t="n"/>
      <c r="AD243" s="756" t="n"/>
      <c r="AE243" s="756" t="n"/>
      <c r="AF243" s="779" t="n"/>
      <c r="AG243" s="779" t="n"/>
      <c r="AH243" s="756" t="n"/>
      <c r="AI243" s="4" t="n"/>
    </row>
    <row r="244" ht="15.75" customHeight="1" s="757">
      <c r="A244" s="10" t="inlineStr">
        <is>
          <t>FIREFOX tarda</t>
        </is>
      </c>
      <c r="B244" s="11" t="n"/>
      <c r="C244" s="11" t="n"/>
      <c r="D244" s="26" t="n"/>
      <c r="E244" s="779" t="n"/>
      <c r="F244" s="756" t="n"/>
      <c r="G244" s="756" t="n"/>
      <c r="H244" s="756" t="n"/>
      <c r="I244" s="756" t="n"/>
      <c r="J244" s="756" t="n"/>
      <c r="K244" s="779" t="n"/>
      <c r="L244" s="779" t="n"/>
      <c r="M244" s="756" t="n"/>
      <c r="N244" s="756" t="n"/>
      <c r="O244" s="756" t="n"/>
      <c r="P244" s="756" t="n"/>
      <c r="Q244" s="756" t="n"/>
      <c r="R244" s="779" t="n"/>
      <c r="S244" s="779" t="n"/>
      <c r="T244" s="756" t="n"/>
      <c r="U244" s="756" t="n"/>
      <c r="V244" s="756" t="n"/>
      <c r="W244" s="756" t="n"/>
      <c r="X244" s="756" t="n"/>
      <c r="Y244" s="779" t="n"/>
      <c r="Z244" s="779" t="n"/>
      <c r="AA244" s="756" t="n"/>
      <c r="AB244" s="756" t="n"/>
      <c r="AC244" s="756" t="n"/>
      <c r="AD244" s="756" t="n"/>
      <c r="AE244" s="756" t="n"/>
      <c r="AF244" s="779" t="n"/>
      <c r="AG244" s="779" t="n"/>
      <c r="AH244" s="756" t="n"/>
    </row>
    <row r="245" ht="16.5" customHeight="1" s="757" thickBot="1">
      <c r="A245" s="14" t="inlineStr">
        <is>
          <t>COPILOT tarda</t>
        </is>
      </c>
      <c r="B245" s="15" t="n"/>
      <c r="C245" s="15" t="n"/>
      <c r="D245" s="596" t="n"/>
      <c r="E245" s="780" t="n"/>
      <c r="F245" s="778" t="n"/>
      <c r="G245" s="778" t="n"/>
      <c r="H245" s="778" t="n"/>
      <c r="I245" s="778" t="n"/>
      <c r="J245" s="778" t="n"/>
      <c r="K245" s="780" t="n"/>
      <c r="L245" s="780" t="n"/>
      <c r="M245" s="778" t="n"/>
      <c r="N245" s="778" t="n"/>
      <c r="O245" s="778" t="n"/>
      <c r="P245" s="778" t="n"/>
      <c r="Q245" s="778" t="n"/>
      <c r="R245" s="780" t="n"/>
      <c r="S245" s="780" t="n"/>
      <c r="T245" s="778" t="n"/>
      <c r="U245" s="778" t="n"/>
      <c r="V245" s="778" t="n"/>
      <c r="W245" s="778" t="n"/>
      <c r="X245" s="778" t="n"/>
      <c r="Y245" s="780" t="n"/>
      <c r="Z245" s="780" t="n"/>
      <c r="AA245" s="778" t="n"/>
      <c r="AB245" s="778" t="n"/>
      <c r="AC245" s="778" t="n"/>
      <c r="AD245" s="778" t="n"/>
      <c r="AE245" s="778" t="n"/>
      <c r="AF245" s="780" t="n"/>
      <c r="AG245" s="780" t="n"/>
      <c r="AH245" s="778" t="n"/>
    </row>
    <row r="246" ht="16.5" customHeight="1" s="757" thickTop="1">
      <c r="A246" s="10" t="inlineStr">
        <is>
          <t>TARRAGONA matí</t>
        </is>
      </c>
      <c r="B246" s="11" t="n"/>
      <c r="C246" s="11" t="n"/>
      <c r="D246" s="28" t="n"/>
      <c r="E246" s="781" t="n"/>
      <c r="F246" s="756" t="n"/>
      <c r="G246" s="755" t="n"/>
      <c r="H246" s="756" t="n"/>
      <c r="I246" s="755" t="n"/>
      <c r="J246" s="756" t="n"/>
      <c r="K246" s="781" t="n"/>
      <c r="L246" s="779" t="n"/>
      <c r="M246" s="756" t="n"/>
      <c r="N246" s="755" t="n"/>
      <c r="O246" s="755" t="n"/>
      <c r="P246" s="756" t="n"/>
      <c r="Q246" s="756" t="n"/>
      <c r="R246" s="781" t="n"/>
      <c r="S246" s="779" t="n"/>
      <c r="T246" s="756" t="n"/>
      <c r="U246" s="755" t="n"/>
      <c r="V246" s="755" t="n"/>
      <c r="W246" s="756" t="n"/>
      <c r="X246" s="756" t="n"/>
      <c r="Y246" s="781" t="n"/>
      <c r="Z246" s="779" t="n"/>
      <c r="AA246" s="756" t="n"/>
      <c r="AB246" s="755" t="n"/>
      <c r="AC246" s="755" t="n"/>
      <c r="AD246" s="756" t="n"/>
      <c r="AE246" s="756" t="n"/>
      <c r="AF246" s="781" t="n"/>
      <c r="AG246" s="779" t="n"/>
      <c r="AH246" s="756" t="n"/>
    </row>
    <row r="247" ht="15.75" customHeight="1" s="757">
      <c r="A247" s="12" t="inlineStr">
        <is>
          <t>TARRAGONA tarda</t>
        </is>
      </c>
      <c r="B247" s="11" t="n"/>
      <c r="C247" s="11" t="n"/>
      <c r="D247" s="26" t="n"/>
      <c r="E247" s="779" t="n"/>
      <c r="F247" s="756" t="n"/>
      <c r="G247" s="756" t="n"/>
      <c r="H247" s="756" t="n"/>
      <c r="I247" s="756" t="n"/>
      <c r="J247" s="756" t="n"/>
      <c r="K247" s="779" t="n"/>
      <c r="L247" s="779" t="n"/>
      <c r="M247" s="756" t="n"/>
      <c r="N247" s="756" t="n"/>
      <c r="O247" s="756" t="n"/>
      <c r="P247" s="756" t="n"/>
      <c r="Q247" s="756" t="n"/>
      <c r="R247" s="779" t="n"/>
      <c r="S247" s="779" t="n"/>
      <c r="T247" s="756" t="n"/>
      <c r="U247" s="756" t="n"/>
      <c r="V247" s="756" t="n"/>
      <c r="W247" s="756" t="n"/>
      <c r="X247" s="756" t="n"/>
      <c r="Y247" s="779" t="n"/>
      <c r="Z247" s="779" t="n"/>
      <c r="AA247" s="756" t="n"/>
      <c r="AB247" s="756" t="n"/>
      <c r="AC247" s="756" t="n"/>
      <c r="AD247" s="756" t="n"/>
      <c r="AE247" s="756" t="n"/>
      <c r="AF247" s="779" t="n"/>
      <c r="AG247" s="779" t="n"/>
      <c r="AH247" s="756" t="n"/>
    </row>
    <row r="248" ht="15.75" customHeight="1" s="757">
      <c r="A248" s="12" t="inlineStr">
        <is>
          <t>ONLINE</t>
        </is>
      </c>
      <c r="B248" s="11" t="n"/>
      <c r="C248" s="11" t="n"/>
      <c r="D248" s="26" t="n"/>
      <c r="E248" s="779" t="n"/>
      <c r="F248" s="756" t="n"/>
      <c r="G248" s="756" t="n"/>
      <c r="H248" s="756" t="n"/>
      <c r="I248" s="756" t="n"/>
      <c r="J248" s="756" t="n"/>
      <c r="K248" s="779" t="n"/>
      <c r="L248" s="779" t="n"/>
      <c r="M248" s="756" t="n"/>
      <c r="N248" s="756" t="n"/>
      <c r="O248" s="756" t="n"/>
      <c r="P248" s="756" t="n"/>
      <c r="Q248" s="756" t="n"/>
      <c r="R248" s="779" t="n"/>
      <c r="S248" s="779" t="n"/>
      <c r="T248" s="756" t="n"/>
      <c r="U248" s="756" t="n"/>
      <c r="V248" s="756" t="n"/>
      <c r="W248" s="756" t="n"/>
      <c r="X248" s="756" t="n"/>
      <c r="Y248" s="779" t="n"/>
      <c r="Z248" s="779" t="n"/>
      <c r="AA248" s="756" t="n"/>
      <c r="AB248" s="756" t="n"/>
      <c r="AC248" s="756" t="n"/>
      <c r="AD248" s="756" t="n"/>
      <c r="AE248" s="756" t="n"/>
      <c r="AF248" s="779" t="n"/>
      <c r="AG248" s="779" t="n"/>
      <c r="AH248" s="756" t="n"/>
    </row>
    <row r="249"/>
    <row r="250"/>
    <row r="251" ht="21.75" customHeight="1" s="757" thickBot="1">
      <c r="A251" s="854" t="inlineStr">
        <is>
          <t>JUNY 2027</t>
        </is>
      </c>
      <c r="B251" s="156" t="n"/>
      <c r="C251" s="156" t="n"/>
      <c r="D251" s="156" t="n"/>
      <c r="E251" s="156" t="n"/>
      <c r="F251" s="156" t="n"/>
      <c r="G251" s="156" t="n"/>
      <c r="H251" s="156" t="n"/>
      <c r="I251" s="156" t="n"/>
      <c r="J251" s="156" t="n"/>
      <c r="K251" s="156" t="n"/>
      <c r="L251" s="156" t="n"/>
      <c r="M251" s="156" t="n"/>
      <c r="N251" s="156" t="n"/>
      <c r="O251" s="156" t="n"/>
      <c r="P251" s="156" t="n"/>
      <c r="Q251" s="156" t="n"/>
      <c r="R251" s="156" t="n"/>
      <c r="S251" s="156" t="n"/>
      <c r="T251" s="156" t="n"/>
      <c r="U251" s="156" t="n"/>
      <c r="V251" s="156" t="n"/>
      <c r="W251" s="156" t="n"/>
      <c r="X251" s="156" t="n"/>
      <c r="Y251" s="156" t="n"/>
      <c r="Z251" s="156" t="n"/>
      <c r="AA251" s="156" t="n"/>
      <c r="AB251" s="156" t="n"/>
      <c r="AC251" s="156" t="n"/>
      <c r="AD251" s="156" t="n"/>
      <c r="AE251" s="156" t="n"/>
      <c r="AF251" s="156" t="n"/>
      <c r="AG251" s="156" t="n"/>
      <c r="AH251" s="142" t="n"/>
      <c r="AI251" s="500" t="n">
        <v>20</v>
      </c>
    </row>
    <row r="252" ht="51" customHeight="1" s="757">
      <c r="A252" s="7" t="inlineStr">
        <is>
          <t>AULA</t>
        </is>
      </c>
      <c r="B252" s="8" t="inlineStr">
        <is>
          <t>INICI</t>
        </is>
      </c>
      <c r="C252" s="8" t="inlineStr">
        <is>
          <t>FINAL</t>
        </is>
      </c>
      <c r="D252" s="9" t="n">
        <v>46539</v>
      </c>
      <c r="E252" s="9" t="n">
        <v>46540</v>
      </c>
      <c r="F252" s="9" t="n">
        <v>46541</v>
      </c>
      <c r="G252" s="9" t="n">
        <v>46542</v>
      </c>
      <c r="H252" s="9" t="n">
        <v>46543</v>
      </c>
      <c r="I252" s="9" t="n">
        <v>46544</v>
      </c>
      <c r="J252" s="9" t="n">
        <v>46545</v>
      </c>
      <c r="K252" s="9" t="n">
        <v>46546</v>
      </c>
      <c r="L252" s="9" t="n">
        <v>46547</v>
      </c>
      <c r="M252" s="9" t="n">
        <v>46548</v>
      </c>
      <c r="N252" s="9" t="n">
        <v>46549</v>
      </c>
      <c r="O252" s="9" t="n">
        <v>46550</v>
      </c>
      <c r="P252" s="9" t="n">
        <v>46551</v>
      </c>
      <c r="Q252" s="9" t="n">
        <v>46552</v>
      </c>
      <c r="R252" s="9" t="n">
        <v>46553</v>
      </c>
      <c r="S252" s="9" t="n">
        <v>46554</v>
      </c>
      <c r="T252" s="9" t="n">
        <v>46555</v>
      </c>
      <c r="U252" s="9" t="n">
        <v>46556</v>
      </c>
      <c r="V252" s="9" t="n">
        <v>46557</v>
      </c>
      <c r="W252" s="9" t="n">
        <v>46558</v>
      </c>
      <c r="X252" s="9" t="n">
        <v>46559</v>
      </c>
      <c r="Y252" s="9" t="n">
        <v>46560</v>
      </c>
      <c r="Z252" s="9" t="n">
        <v>46561</v>
      </c>
      <c r="AA252" s="9" t="n">
        <v>46562</v>
      </c>
      <c r="AB252" s="9" t="n">
        <v>46563</v>
      </c>
      <c r="AC252" s="9" t="n">
        <v>46564</v>
      </c>
      <c r="AD252" s="9" t="n">
        <v>46565</v>
      </c>
      <c r="AE252" s="9" t="n">
        <v>46566</v>
      </c>
      <c r="AF252" s="9" t="n">
        <v>46567</v>
      </c>
      <c r="AG252" s="9" t="n">
        <v>46568</v>
      </c>
      <c r="AH252" s="9" t="n"/>
      <c r="AI252" s="4" t="n"/>
    </row>
    <row r="253" ht="15.75" customHeight="1" s="757">
      <c r="A253" s="10" t="inlineStr">
        <is>
          <t>GOOGLE MATINS</t>
        </is>
      </c>
      <c r="B253" s="11" t="n"/>
      <c r="C253" s="11" t="n"/>
      <c r="D253" s="895" t="n">
        <v>5</v>
      </c>
      <c r="E253" s="756" t="n"/>
      <c r="F253" s="756" t="n"/>
      <c r="G253" s="756" t="n"/>
      <c r="H253" s="779" t="n"/>
      <c r="I253" s="779" t="n"/>
      <c r="J253" s="756" t="n"/>
      <c r="K253" s="756" t="n"/>
      <c r="L253" s="756" t="n"/>
      <c r="M253" s="756" t="n"/>
      <c r="N253" s="756" t="n"/>
      <c r="O253" s="779" t="n"/>
      <c r="P253" s="779" t="n"/>
      <c r="Q253" s="756" t="n"/>
      <c r="R253" s="756" t="n"/>
      <c r="S253" s="756" t="n"/>
      <c r="T253" s="756" t="n"/>
      <c r="U253" s="756" t="n"/>
      <c r="V253" s="779" t="n"/>
      <c r="W253" s="779" t="n"/>
      <c r="X253" s="756" t="n"/>
      <c r="Y253" s="756" t="n"/>
      <c r="Z253" s="756" t="n"/>
      <c r="AA253" s="26" t="n"/>
      <c r="AB253" s="26" t="n"/>
      <c r="AC253" s="779" t="n"/>
      <c r="AD253" s="779" t="n"/>
      <c r="AE253" s="756" t="n"/>
      <c r="AF253" s="756" t="n"/>
      <c r="AG253" s="756" t="n"/>
      <c r="AH253" s="756" t="n"/>
      <c r="AI253" s="4" t="n"/>
      <c r="AK253" s="627" t="n"/>
      <c r="AL253" s="897" t="inlineStr">
        <is>
          <t>FCOI20 Comunicació i col·laboració amb eines digitals (ACTIC Nivell avançat) · MARIA · GOOGLE matí 9:00-15:00 · 24/05–01/06 · 40 h</t>
        </is>
      </c>
    </row>
    <row r="254" ht="15.75" customHeight="1" s="757">
      <c r="A254" s="10" t="inlineStr">
        <is>
          <t>FIREFOX matí</t>
        </is>
      </c>
      <c r="B254" s="456" t="n"/>
      <c r="C254" s="456" t="n"/>
      <c r="D254" s="782" t="n"/>
      <c r="E254" s="756" t="n"/>
      <c r="F254" s="756" t="n"/>
      <c r="G254" s="756" t="n"/>
      <c r="H254" s="779" t="n"/>
      <c r="I254" s="779" t="n"/>
      <c r="J254" s="756" t="n"/>
      <c r="K254" s="756" t="n"/>
      <c r="L254" s="756" t="n"/>
      <c r="M254" s="756" t="n"/>
      <c r="N254" s="756" t="n"/>
      <c r="O254" s="779" t="n"/>
      <c r="P254" s="779" t="n"/>
      <c r="Q254" s="756" t="n"/>
      <c r="R254" s="756" t="n"/>
      <c r="S254" s="756" t="n"/>
      <c r="T254" s="756" t="n"/>
      <c r="U254" s="756" t="n"/>
      <c r="V254" s="779" t="n"/>
      <c r="W254" s="779" t="n"/>
      <c r="X254" s="756" t="n"/>
      <c r="Y254" s="756" t="n"/>
      <c r="Z254" s="756" t="n"/>
      <c r="AA254" s="26" t="n"/>
      <c r="AB254" s="26" t="n"/>
      <c r="AC254" s="779" t="n"/>
      <c r="AD254" s="779" t="n"/>
      <c r="AE254" s="756" t="n"/>
      <c r="AF254" s="756" t="n"/>
      <c r="AG254" s="756" t="n"/>
      <c r="AH254" s="756" t="n"/>
      <c r="AI254" s="4" t="n"/>
      <c r="AK254" s="774" t="n"/>
      <c r="AL254" s="774" t="n"/>
    </row>
    <row r="255" ht="19.5" customHeight="1" s="757" thickBot="1">
      <c r="A255" s="14" t="inlineStr">
        <is>
          <t>COPILOT matí</t>
        </is>
      </c>
      <c r="B255" s="15" t="n"/>
      <c r="C255" s="15" t="n"/>
      <c r="D255" s="783" t="n"/>
      <c r="E255" s="778" t="n"/>
      <c r="F255" s="778" t="n"/>
      <c r="G255" s="778" t="n"/>
      <c r="H255" s="780" t="n"/>
      <c r="I255" s="780" t="n"/>
      <c r="J255" s="778" t="n"/>
      <c r="K255" s="778" t="n"/>
      <c r="L255" s="778" t="n"/>
      <c r="M255" s="778" t="n"/>
      <c r="N255" s="778" t="n"/>
      <c r="O255" s="780" t="n"/>
      <c r="P255" s="780" t="n"/>
      <c r="Q255" s="778" t="n"/>
      <c r="R255" s="778" t="n"/>
      <c r="S255" s="778" t="n"/>
      <c r="T255" s="778" t="n"/>
      <c r="U255" s="778" t="n"/>
      <c r="V255" s="780" t="n"/>
      <c r="W255" s="780" t="n"/>
      <c r="X255" s="778" t="n"/>
      <c r="Y255" s="778" t="n"/>
      <c r="Z255" s="778" t="n"/>
      <c r="AA255" s="27" t="n"/>
      <c r="AB255" s="27" t="n"/>
      <c r="AC255" s="780" t="n"/>
      <c r="AD255" s="780" t="n"/>
      <c r="AE255" s="778" t="n"/>
      <c r="AF255" s="778" t="n"/>
      <c r="AG255" s="778" t="n"/>
      <c r="AH255" s="778" t="n"/>
      <c r="AI255" s="4" t="n"/>
      <c r="AJ255" s="428" t="n"/>
      <c r="AK255" s="775" t="n"/>
    </row>
    <row r="256" ht="16.5" customHeight="1" s="757" thickTop="1">
      <c r="A256" s="17" t="inlineStr">
        <is>
          <t>GOOGLE tarda</t>
        </is>
      </c>
      <c r="B256" s="18" t="n"/>
      <c r="C256" s="18" t="n"/>
      <c r="D256" s="755" t="n"/>
      <c r="E256" s="756" t="n"/>
      <c r="F256" s="756" t="n"/>
      <c r="G256" s="756" t="n"/>
      <c r="H256" s="779" t="n"/>
      <c r="I256" s="779" t="n"/>
      <c r="J256" s="756" t="n"/>
      <c r="K256" s="756" t="n"/>
      <c r="L256" s="756" t="n"/>
      <c r="M256" s="756" t="n"/>
      <c r="N256" s="756" t="n"/>
      <c r="O256" s="779" t="n"/>
      <c r="P256" s="779" t="n"/>
      <c r="Q256" s="756" t="n"/>
      <c r="R256" s="756" t="n"/>
      <c r="S256" s="756" t="n"/>
      <c r="T256" s="756" t="n"/>
      <c r="U256" s="756" t="n"/>
      <c r="V256" s="779" t="n"/>
      <c r="W256" s="779" t="n"/>
      <c r="X256" s="756" t="n"/>
      <c r="Y256" s="756" t="n"/>
      <c r="Z256" s="756" t="n"/>
      <c r="AA256" s="26" t="n"/>
      <c r="AB256" s="26" t="n"/>
      <c r="AC256" s="779" t="n"/>
      <c r="AD256" s="779" t="n"/>
      <c r="AE256" s="756" t="n"/>
      <c r="AF256" s="756" t="n"/>
      <c r="AG256" s="756" t="n"/>
      <c r="AH256" s="756" t="n"/>
      <c r="AI256" s="4" t="n"/>
    </row>
    <row r="257" ht="15.75" customHeight="1" s="757">
      <c r="A257" s="10" t="inlineStr">
        <is>
          <t>FIREFOX tarda</t>
        </is>
      </c>
      <c r="B257" s="11" t="n"/>
      <c r="C257" s="11" t="n"/>
      <c r="D257" s="756" t="n"/>
      <c r="E257" s="756" t="n"/>
      <c r="F257" s="756" t="n"/>
      <c r="G257" s="756" t="n"/>
      <c r="H257" s="779" t="n"/>
      <c r="I257" s="779" t="n"/>
      <c r="J257" s="756" t="n"/>
      <c r="K257" s="756" t="n"/>
      <c r="L257" s="756" t="n"/>
      <c r="M257" s="756" t="n"/>
      <c r="N257" s="756" t="n"/>
      <c r="O257" s="779" t="n"/>
      <c r="P257" s="779" t="n"/>
      <c r="Q257" s="756" t="n"/>
      <c r="R257" s="756" t="n"/>
      <c r="S257" s="756" t="n"/>
      <c r="T257" s="756" t="n"/>
      <c r="U257" s="756" t="n"/>
      <c r="V257" s="779" t="n"/>
      <c r="W257" s="779" t="n"/>
      <c r="X257" s="756" t="n"/>
      <c r="Y257" s="756" t="n"/>
      <c r="Z257" s="756" t="n"/>
      <c r="AA257" s="26" t="n"/>
      <c r="AB257" s="26" t="n"/>
      <c r="AC257" s="779" t="n"/>
      <c r="AD257" s="779" t="n"/>
      <c r="AE257" s="756" t="n"/>
      <c r="AF257" s="756" t="n"/>
      <c r="AG257" s="756" t="n"/>
      <c r="AH257" s="756" t="n"/>
    </row>
    <row r="258" ht="16.5" customHeight="1" s="757" thickBot="1">
      <c r="A258" s="14" t="inlineStr">
        <is>
          <t>COPILOT tarda</t>
        </is>
      </c>
      <c r="B258" s="15" t="n"/>
      <c r="C258" s="15" t="n"/>
      <c r="D258" s="783" t="n"/>
      <c r="E258" s="778" t="n"/>
      <c r="F258" s="778" t="n"/>
      <c r="G258" s="778" t="n"/>
      <c r="H258" s="780" t="n"/>
      <c r="I258" s="780" t="n"/>
      <c r="J258" s="778" t="n"/>
      <c r="K258" s="778" t="n"/>
      <c r="L258" s="778" t="n"/>
      <c r="M258" s="778" t="n"/>
      <c r="N258" s="778" t="n"/>
      <c r="O258" s="780" t="n"/>
      <c r="P258" s="780" t="n"/>
      <c r="Q258" s="778" t="n"/>
      <c r="R258" s="778" t="n"/>
      <c r="S258" s="778" t="n"/>
      <c r="T258" s="778" t="n"/>
      <c r="U258" s="778" t="n"/>
      <c r="V258" s="780" t="n"/>
      <c r="W258" s="780" t="n"/>
      <c r="X258" s="778" t="n"/>
      <c r="Y258" s="778" t="n"/>
      <c r="Z258" s="778" t="n"/>
      <c r="AA258" s="27" t="n"/>
      <c r="AB258" s="27" t="n"/>
      <c r="AC258" s="780" t="n"/>
      <c r="AD258" s="780" t="n"/>
      <c r="AE258" s="778" t="n"/>
      <c r="AF258" s="778" t="n"/>
      <c r="AG258" s="778" t="n"/>
      <c r="AH258" s="778" t="n"/>
    </row>
    <row r="259" ht="16.5" customHeight="1" s="757" thickTop="1">
      <c r="A259" s="10" t="inlineStr">
        <is>
          <t>TARRAGONA matí</t>
        </is>
      </c>
      <c r="B259" s="11" t="n"/>
      <c r="C259" s="11" t="n"/>
      <c r="D259" s="755" t="n"/>
      <c r="E259" s="755" t="n"/>
      <c r="F259" s="756" t="n"/>
      <c r="G259" s="755" t="n"/>
      <c r="H259" s="779" t="n"/>
      <c r="I259" s="781" t="n"/>
      <c r="J259" s="756" t="n"/>
      <c r="K259" s="755" t="n"/>
      <c r="L259" s="756" t="n"/>
      <c r="M259" s="756" t="n"/>
      <c r="N259" s="755" t="n"/>
      <c r="O259" s="781" t="n"/>
      <c r="P259" s="779" t="n"/>
      <c r="Q259" s="756" t="n"/>
      <c r="R259" s="755" t="n"/>
      <c r="S259" s="756" t="n"/>
      <c r="T259" s="756" t="n"/>
      <c r="U259" s="755" t="n"/>
      <c r="V259" s="781" t="n"/>
      <c r="W259" s="779" t="n"/>
      <c r="X259" s="756" t="n"/>
      <c r="Y259" s="755" t="n"/>
      <c r="Z259" s="756" t="n"/>
      <c r="AA259" s="26" t="n"/>
      <c r="AB259" s="28" t="n"/>
      <c r="AC259" s="781" t="n"/>
      <c r="AD259" s="779" t="n"/>
      <c r="AE259" s="756" t="n"/>
      <c r="AF259" s="755" t="n"/>
      <c r="AG259" s="756" t="n"/>
      <c r="AH259" s="756" t="n"/>
    </row>
    <row r="260" ht="15.75" customHeight="1" s="757">
      <c r="A260" s="12" t="inlineStr">
        <is>
          <t>TARRAGONA tarda</t>
        </is>
      </c>
      <c r="B260" s="11" t="n"/>
      <c r="C260" s="11" t="n"/>
      <c r="D260" s="756" t="n"/>
      <c r="E260" s="756" t="n"/>
      <c r="F260" s="756" t="n"/>
      <c r="G260" s="756" t="n"/>
      <c r="H260" s="779" t="n"/>
      <c r="I260" s="779" t="n"/>
      <c r="J260" s="756" t="n"/>
      <c r="K260" s="756" t="n"/>
      <c r="L260" s="756" t="n"/>
      <c r="M260" s="756" t="n"/>
      <c r="N260" s="756" t="n"/>
      <c r="O260" s="779" t="n"/>
      <c r="P260" s="779" t="n"/>
      <c r="Q260" s="756" t="n"/>
      <c r="R260" s="756" t="n"/>
      <c r="S260" s="756" t="n"/>
      <c r="T260" s="756" t="n"/>
      <c r="U260" s="756" t="n"/>
      <c r="V260" s="779" t="n"/>
      <c r="W260" s="779" t="n"/>
      <c r="X260" s="756" t="n"/>
      <c r="Y260" s="756" t="n"/>
      <c r="Z260" s="756" t="n"/>
      <c r="AA260" s="26" t="n"/>
      <c r="AB260" s="26" t="n"/>
      <c r="AC260" s="779" t="n"/>
      <c r="AD260" s="779" t="n"/>
      <c r="AE260" s="756" t="n"/>
      <c r="AF260" s="756" t="n"/>
      <c r="AG260" s="756" t="n"/>
      <c r="AH260" s="756" t="n"/>
    </row>
    <row r="261" ht="15.75" customHeight="1" s="757">
      <c r="A261" s="12" t="inlineStr">
        <is>
          <t>ONLINE</t>
        </is>
      </c>
      <c r="B261" s="11" t="n"/>
      <c r="C261" s="11" t="n"/>
      <c r="D261" s="756" t="n"/>
      <c r="E261" s="756" t="n"/>
      <c r="F261" s="756" t="n"/>
      <c r="G261" s="756" t="n"/>
      <c r="H261" s="779" t="n"/>
      <c r="I261" s="779" t="n"/>
      <c r="J261" s="756" t="n"/>
      <c r="K261" s="756" t="n"/>
      <c r="L261" s="756" t="n"/>
      <c r="M261" s="756" t="n"/>
      <c r="N261" s="756" t="n"/>
      <c r="O261" s="779" t="n"/>
      <c r="P261" s="779" t="n"/>
      <c r="Q261" s="756" t="n"/>
      <c r="R261" s="756" t="n"/>
      <c r="S261" s="756" t="n"/>
      <c r="T261" s="756" t="n"/>
      <c r="U261" s="756" t="n"/>
      <c r="V261" s="779" t="n"/>
      <c r="W261" s="779" t="n"/>
      <c r="X261" s="756" t="n"/>
      <c r="Y261" s="756" t="n"/>
      <c r="Z261" s="756" t="n"/>
      <c r="AA261" s="26" t="n"/>
      <c r="AB261" s="26" t="n"/>
      <c r="AC261" s="779" t="n"/>
      <c r="AD261" s="779" t="n"/>
      <c r="AE261" s="756" t="n"/>
      <c r="AF261" s="756" t="n"/>
      <c r="AG261" s="756" t="n"/>
      <c r="AH261" s="756" t="n"/>
    </row>
    <row r="262"/>
    <row r="263"/>
    <row r="264"/>
    <row r="265" ht="21.75" customHeight="1" s="757" thickBot="1">
      <c r="A265" s="854" t="inlineStr">
        <is>
          <t>JULIOL 2027</t>
        </is>
      </c>
      <c r="B265" s="156" t="n"/>
      <c r="C265" s="156" t="n"/>
      <c r="D265" s="156" t="n"/>
      <c r="E265" s="156" t="n"/>
      <c r="F265" s="156" t="n"/>
      <c r="G265" s="156" t="n"/>
      <c r="H265" s="156" t="n"/>
      <c r="I265" s="156" t="n"/>
      <c r="J265" s="156" t="n"/>
      <c r="K265" s="156" t="n"/>
      <c r="L265" s="156" t="n"/>
      <c r="M265" s="156" t="n"/>
      <c r="N265" s="156" t="n"/>
      <c r="O265" s="156" t="n"/>
      <c r="P265" s="156" t="n"/>
      <c r="Q265" s="156" t="n"/>
      <c r="R265" s="156" t="n"/>
      <c r="S265" s="156" t="n"/>
      <c r="T265" s="156" t="n"/>
      <c r="U265" s="156" t="n"/>
      <c r="V265" s="156" t="n"/>
      <c r="W265" s="156" t="n"/>
      <c r="X265" s="156" t="n"/>
      <c r="Y265" s="156" t="n"/>
      <c r="Z265" s="156" t="n"/>
      <c r="AA265" s="156" t="n"/>
      <c r="AB265" s="156" t="n"/>
      <c r="AC265" s="156" t="n"/>
      <c r="AD265" s="156" t="n"/>
      <c r="AE265" s="156" t="n"/>
      <c r="AF265" s="156" t="n"/>
      <c r="AG265" s="156" t="n"/>
      <c r="AH265" s="142" t="n"/>
      <c r="AI265" s="500" t="n">
        <v>22</v>
      </c>
    </row>
    <row r="266" ht="51" customHeight="1" s="757">
      <c r="A266" s="7" t="inlineStr">
        <is>
          <t>AULA</t>
        </is>
      </c>
      <c r="B266" s="8" t="inlineStr">
        <is>
          <t>INICI</t>
        </is>
      </c>
      <c r="C266" s="8" t="inlineStr">
        <is>
          <t>FINAL</t>
        </is>
      </c>
      <c r="D266" s="9" t="n">
        <v>46569</v>
      </c>
      <c r="E266" s="9" t="n">
        <v>46570</v>
      </c>
      <c r="F266" s="9" t="n">
        <v>46571</v>
      </c>
      <c r="G266" s="9" t="n">
        <v>46572</v>
      </c>
      <c r="H266" s="9" t="n">
        <v>46573</v>
      </c>
      <c r="I266" s="9" t="n">
        <v>46574</v>
      </c>
      <c r="J266" s="9" t="n">
        <v>46575</v>
      </c>
      <c r="K266" s="9" t="n">
        <v>46576</v>
      </c>
      <c r="L266" s="9" t="n">
        <v>46577</v>
      </c>
      <c r="M266" s="9" t="n">
        <v>46578</v>
      </c>
      <c r="N266" s="9" t="n">
        <v>46579</v>
      </c>
      <c r="O266" s="9" t="n">
        <v>46580</v>
      </c>
      <c r="P266" s="9" t="n">
        <v>46581</v>
      </c>
      <c r="Q266" s="9" t="n">
        <v>46582</v>
      </c>
      <c r="R266" s="9" t="n">
        <v>46583</v>
      </c>
      <c r="S266" s="9" t="n">
        <v>46584</v>
      </c>
      <c r="T266" s="9" t="n">
        <v>46585</v>
      </c>
      <c r="U266" s="9" t="n">
        <v>46586</v>
      </c>
      <c r="V266" s="9" t="n">
        <v>46587</v>
      </c>
      <c r="W266" s="9" t="n">
        <v>46588</v>
      </c>
      <c r="X266" s="9" t="n">
        <v>46589</v>
      </c>
      <c r="Y266" s="9" t="n">
        <v>46590</v>
      </c>
      <c r="Z266" s="9" t="n">
        <v>46591</v>
      </c>
      <c r="AA266" s="9" t="n">
        <v>46592</v>
      </c>
      <c r="AB266" s="9" t="n">
        <v>46593</v>
      </c>
      <c r="AC266" s="9" t="n">
        <v>46594</v>
      </c>
      <c r="AD266" s="9" t="n">
        <v>46595</v>
      </c>
      <c r="AE266" s="9" t="n">
        <v>46596</v>
      </c>
      <c r="AF266" s="9" t="n">
        <v>46597</v>
      </c>
      <c r="AG266" s="9" t="n">
        <v>46598</v>
      </c>
      <c r="AH266" s="9" t="n">
        <v>46599</v>
      </c>
      <c r="AI266" s="4" t="n"/>
    </row>
    <row r="267" ht="15.75" customHeight="1" s="757">
      <c r="A267" s="10" t="inlineStr">
        <is>
          <t>GOOGLE MATINS</t>
        </is>
      </c>
      <c r="B267" s="11" t="n"/>
      <c r="C267" s="11" t="n"/>
      <c r="D267" s="756" t="n"/>
      <c r="E267" s="756" t="n"/>
      <c r="F267" s="779" t="n"/>
      <c r="G267" s="779" t="n"/>
      <c r="H267" s="756" t="n"/>
      <c r="I267" s="756" t="n"/>
      <c r="J267" s="756" t="n"/>
      <c r="K267" s="756" t="n"/>
      <c r="L267" s="756" t="n"/>
      <c r="M267" s="779" t="n"/>
      <c r="N267" s="779" t="n"/>
      <c r="O267" s="756" t="n"/>
      <c r="P267" s="756" t="n"/>
      <c r="Q267" s="756" t="n"/>
      <c r="R267" s="756" t="n"/>
      <c r="S267" s="756" t="n"/>
      <c r="T267" s="779" t="n"/>
      <c r="U267" s="779" t="n"/>
      <c r="V267" s="756" t="n"/>
      <c r="W267" s="756" t="n"/>
      <c r="X267" s="756" t="n"/>
      <c r="Y267" s="756" t="n"/>
      <c r="Z267" s="756" t="n"/>
      <c r="AA267" s="779" t="n"/>
      <c r="AB267" s="779" t="n"/>
      <c r="AC267" s="756" t="n"/>
      <c r="AD267" s="756" t="n"/>
      <c r="AE267" s="756" t="n"/>
      <c r="AF267" s="756" t="n"/>
      <c r="AG267" s="756" t="n"/>
      <c r="AH267" s="779" t="n"/>
      <c r="AI267" s="4" t="n"/>
      <c r="AK267" s="627" t="n"/>
      <c r="AL267" s="774" t="n"/>
    </row>
    <row r="268" ht="15.75" customHeight="1" s="757">
      <c r="A268" s="10" t="inlineStr">
        <is>
          <t>FIREFOX matí</t>
        </is>
      </c>
      <c r="B268" s="456" t="n"/>
      <c r="C268" s="456" t="n"/>
      <c r="D268" s="782" t="n"/>
      <c r="E268" s="756" t="n"/>
      <c r="F268" s="779" t="n"/>
      <c r="G268" s="779" t="n"/>
      <c r="H268" s="756" t="n"/>
      <c r="I268" s="756" t="n"/>
      <c r="J268" s="756" t="n"/>
      <c r="K268" s="756" t="n"/>
      <c r="L268" s="756" t="n"/>
      <c r="M268" s="779" t="n"/>
      <c r="N268" s="779" t="n"/>
      <c r="O268" s="756" t="n"/>
      <c r="P268" s="756" t="n"/>
      <c r="Q268" s="756" t="n"/>
      <c r="R268" s="756" t="n"/>
      <c r="S268" s="756" t="n"/>
      <c r="T268" s="779" t="n"/>
      <c r="U268" s="779" t="n"/>
      <c r="V268" s="756" t="n"/>
      <c r="W268" s="756" t="n"/>
      <c r="X268" s="756" t="n"/>
      <c r="Y268" s="756" t="n"/>
      <c r="Z268" s="756" t="n"/>
      <c r="AA268" s="779" t="n"/>
      <c r="AB268" s="779" t="n"/>
      <c r="AC268" s="756" t="n"/>
      <c r="AD268" s="756" t="n"/>
      <c r="AE268" s="756" t="n"/>
      <c r="AF268" s="756" t="n"/>
      <c r="AG268" s="756" t="n"/>
      <c r="AH268" s="779" t="n"/>
      <c r="AI268" s="4" t="n"/>
      <c r="AK268" s="774" t="n"/>
      <c r="AL268" s="774" t="n"/>
    </row>
    <row r="269" ht="19.5" customHeight="1" s="757" thickBot="1">
      <c r="A269" s="14" t="inlineStr">
        <is>
          <t>COPILOT matí</t>
        </is>
      </c>
      <c r="B269" s="15" t="n"/>
      <c r="C269" s="15" t="n"/>
      <c r="D269" s="783" t="n"/>
      <c r="E269" s="778" t="n"/>
      <c r="F269" s="780" t="n"/>
      <c r="G269" s="780" t="n"/>
      <c r="H269" s="778" t="n"/>
      <c r="I269" s="778" t="n"/>
      <c r="J269" s="778" t="n"/>
      <c r="K269" s="778" t="n"/>
      <c r="L269" s="778" t="n"/>
      <c r="M269" s="780" t="n"/>
      <c r="N269" s="780" t="n"/>
      <c r="O269" s="778" t="n"/>
      <c r="P269" s="778" t="n"/>
      <c r="Q269" s="778" t="n"/>
      <c r="R269" s="778" t="n"/>
      <c r="S269" s="778" t="n"/>
      <c r="T269" s="780" t="n"/>
      <c r="U269" s="780" t="n"/>
      <c r="V269" s="778" t="n"/>
      <c r="W269" s="778" t="n"/>
      <c r="X269" s="778" t="n"/>
      <c r="Y269" s="778" t="n"/>
      <c r="Z269" s="778" t="n"/>
      <c r="AA269" s="780" t="n"/>
      <c r="AB269" s="780" t="n"/>
      <c r="AC269" s="778" t="n"/>
      <c r="AD269" s="778" t="n"/>
      <c r="AE269" s="778" t="n"/>
      <c r="AF269" s="778" t="n"/>
      <c r="AG269" s="778" t="n"/>
      <c r="AH269" s="780" t="n"/>
      <c r="AI269" s="4" t="n"/>
      <c r="AJ269" s="428" t="n"/>
      <c r="AK269" s="775" t="n"/>
    </row>
    <row r="270" ht="16.5" customHeight="1" s="757" thickTop="1">
      <c r="A270" s="17" t="inlineStr">
        <is>
          <t>GOOGLE tarda</t>
        </is>
      </c>
      <c r="B270" s="18" t="n"/>
      <c r="C270" s="18" t="n"/>
      <c r="D270" s="755" t="n"/>
      <c r="E270" s="756" t="n"/>
      <c r="F270" s="779" t="n"/>
      <c r="G270" s="779" t="n"/>
      <c r="H270" s="756" t="n"/>
      <c r="I270" s="756" t="n"/>
      <c r="J270" s="756" t="n"/>
      <c r="K270" s="756" t="n"/>
      <c r="L270" s="756" t="n"/>
      <c r="M270" s="779" t="n"/>
      <c r="N270" s="779" t="n"/>
      <c r="O270" s="756" t="n"/>
      <c r="P270" s="756" t="n"/>
      <c r="Q270" s="756" t="n"/>
      <c r="R270" s="756" t="n"/>
      <c r="S270" s="756" t="n"/>
      <c r="T270" s="779" t="n"/>
      <c r="U270" s="779" t="n"/>
      <c r="V270" s="756" t="n"/>
      <c r="W270" s="756" t="n"/>
      <c r="X270" s="756" t="n"/>
      <c r="Y270" s="756" t="n"/>
      <c r="Z270" s="756" t="n"/>
      <c r="AA270" s="779" t="n"/>
      <c r="AB270" s="779" t="n"/>
      <c r="AC270" s="756" t="n"/>
      <c r="AD270" s="756" t="n"/>
      <c r="AE270" s="756" t="n"/>
      <c r="AF270" s="756" t="n"/>
      <c r="AG270" s="756" t="n"/>
      <c r="AH270" s="779" t="n"/>
      <c r="AI270" s="4" t="n"/>
    </row>
    <row r="271" ht="15.75" customHeight="1" s="757">
      <c r="A271" s="10" t="inlineStr">
        <is>
          <t>FIREFOX tarda</t>
        </is>
      </c>
      <c r="B271" s="11" t="n"/>
      <c r="C271" s="11" t="n"/>
      <c r="D271" s="756" t="n"/>
      <c r="E271" s="756" t="n"/>
      <c r="F271" s="779" t="n"/>
      <c r="G271" s="779" t="n"/>
      <c r="H271" s="756" t="n"/>
      <c r="I271" s="756" t="n"/>
      <c r="J271" s="756" t="n"/>
      <c r="K271" s="756" t="n"/>
      <c r="L271" s="756" t="n"/>
      <c r="M271" s="779" t="n"/>
      <c r="N271" s="779" t="n"/>
      <c r="O271" s="756" t="n"/>
      <c r="P271" s="756" t="n"/>
      <c r="Q271" s="756" t="n"/>
      <c r="R271" s="756" t="n"/>
      <c r="S271" s="756" t="n"/>
      <c r="T271" s="779" t="n"/>
      <c r="U271" s="779" t="n"/>
      <c r="V271" s="756" t="n"/>
      <c r="W271" s="756" t="n"/>
      <c r="X271" s="756" t="n"/>
      <c r="Y271" s="756" t="n"/>
      <c r="Z271" s="756" t="n"/>
      <c r="AA271" s="779" t="n"/>
      <c r="AB271" s="779" t="n"/>
      <c r="AC271" s="756" t="n"/>
      <c r="AD271" s="756" t="n"/>
      <c r="AE271" s="756" t="n"/>
      <c r="AF271" s="756" t="n"/>
      <c r="AG271" s="756" t="n"/>
      <c r="AH271" s="779" t="n"/>
    </row>
    <row r="272" ht="16.5" customHeight="1" s="757" thickBot="1">
      <c r="A272" s="14" t="inlineStr">
        <is>
          <t>COPILOT tarda</t>
        </is>
      </c>
      <c r="B272" s="15" t="n"/>
      <c r="C272" s="15" t="n"/>
      <c r="D272" s="783" t="n"/>
      <c r="E272" s="778" t="n"/>
      <c r="F272" s="780" t="n"/>
      <c r="G272" s="780" t="n"/>
      <c r="H272" s="778" t="n"/>
      <c r="I272" s="778" t="n"/>
      <c r="J272" s="778" t="n"/>
      <c r="K272" s="778" t="n"/>
      <c r="L272" s="778" t="n"/>
      <c r="M272" s="780" t="n"/>
      <c r="N272" s="780" t="n"/>
      <c r="O272" s="778" t="n"/>
      <c r="P272" s="778" t="n"/>
      <c r="Q272" s="778" t="n"/>
      <c r="R272" s="778" t="n"/>
      <c r="S272" s="778" t="n"/>
      <c r="T272" s="780" t="n"/>
      <c r="U272" s="780" t="n"/>
      <c r="V272" s="778" t="n"/>
      <c r="W272" s="778" t="n"/>
      <c r="X272" s="778" t="n"/>
      <c r="Y272" s="778" t="n"/>
      <c r="Z272" s="778" t="n"/>
      <c r="AA272" s="780" t="n"/>
      <c r="AB272" s="780" t="n"/>
      <c r="AC272" s="778" t="n"/>
      <c r="AD272" s="778" t="n"/>
      <c r="AE272" s="778" t="n"/>
      <c r="AF272" s="778" t="n"/>
      <c r="AG272" s="778" t="n"/>
      <c r="AH272" s="780" t="n"/>
    </row>
    <row r="273" ht="16.5" customHeight="1" s="757" thickTop="1">
      <c r="A273" s="10" t="inlineStr">
        <is>
          <t>TARRAGONA matí</t>
        </is>
      </c>
      <c r="B273" s="11" t="n"/>
      <c r="C273" s="11" t="n"/>
      <c r="D273" s="755" t="n"/>
      <c r="E273" s="755" t="n"/>
      <c r="F273" s="779" t="n"/>
      <c r="G273" s="781" t="n"/>
      <c r="H273" s="756" t="n"/>
      <c r="I273" s="755" t="n"/>
      <c r="J273" s="756" t="n"/>
      <c r="K273" s="755" t="n"/>
      <c r="L273" s="756" t="n"/>
      <c r="M273" s="779" t="n"/>
      <c r="N273" s="781" t="n"/>
      <c r="O273" s="755" t="n"/>
      <c r="P273" s="756" t="n"/>
      <c r="Q273" s="756" t="n"/>
      <c r="R273" s="755" t="n"/>
      <c r="S273" s="756" t="n"/>
      <c r="T273" s="779" t="n"/>
      <c r="U273" s="781" t="n"/>
      <c r="V273" s="755" t="n"/>
      <c r="W273" s="756" t="n"/>
      <c r="X273" s="756" t="n"/>
      <c r="Y273" s="755" t="n"/>
      <c r="Z273" s="756" t="n"/>
      <c r="AA273" s="779" t="n"/>
      <c r="AB273" s="781" t="n"/>
      <c r="AC273" s="755" t="n"/>
      <c r="AD273" s="756" t="n"/>
      <c r="AE273" s="756" t="n"/>
      <c r="AF273" s="755" t="n"/>
      <c r="AG273" s="756" t="n"/>
      <c r="AH273" s="779" t="n"/>
    </row>
    <row r="274" ht="15.75" customHeight="1" s="757">
      <c r="A274" s="12" t="inlineStr">
        <is>
          <t>TARRAGONA tarda</t>
        </is>
      </c>
      <c r="B274" s="11" t="n"/>
      <c r="C274" s="11" t="n"/>
      <c r="D274" s="756" t="n"/>
      <c r="E274" s="756" t="n"/>
      <c r="F274" s="779" t="n"/>
      <c r="G274" s="779" t="n"/>
      <c r="H274" s="756" t="n"/>
      <c r="I274" s="756" t="n"/>
      <c r="J274" s="756" t="n"/>
      <c r="K274" s="756" t="n"/>
      <c r="L274" s="756" t="n"/>
      <c r="M274" s="779" t="n"/>
      <c r="N274" s="779" t="n"/>
      <c r="O274" s="756" t="n"/>
      <c r="P274" s="756" t="n"/>
      <c r="Q274" s="756" t="n"/>
      <c r="R274" s="756" t="n"/>
      <c r="S274" s="756" t="n"/>
      <c r="T274" s="779" t="n"/>
      <c r="U274" s="779" t="n"/>
      <c r="V274" s="756" t="n"/>
      <c r="W274" s="756" t="n"/>
      <c r="X274" s="756" t="n"/>
      <c r="Y274" s="756" t="n"/>
      <c r="Z274" s="756" t="n"/>
      <c r="AA274" s="779" t="n"/>
      <c r="AB274" s="779" t="n"/>
      <c r="AC274" s="756" t="n"/>
      <c r="AD274" s="756" t="n"/>
      <c r="AE274" s="756" t="n"/>
      <c r="AF274" s="756" t="n"/>
      <c r="AG274" s="756" t="n"/>
      <c r="AH274" s="779" t="n"/>
    </row>
    <row r="275" ht="15.75" customHeight="1" s="757">
      <c r="A275" s="12" t="inlineStr">
        <is>
          <t>ONLINE</t>
        </is>
      </c>
      <c r="B275" s="11" t="n"/>
      <c r="C275" s="11" t="n"/>
      <c r="D275" s="756" t="n"/>
      <c r="E275" s="756" t="n"/>
      <c r="F275" s="779" t="n"/>
      <c r="G275" s="779" t="n"/>
      <c r="H275" s="756" t="n"/>
      <c r="I275" s="756" t="n"/>
      <c r="J275" s="756" t="n"/>
      <c r="K275" s="756" t="n"/>
      <c r="L275" s="756" t="n"/>
      <c r="M275" s="779" t="n"/>
      <c r="N275" s="779" t="n"/>
      <c r="O275" s="756" t="n"/>
      <c r="P275" s="756" t="n"/>
      <c r="Q275" s="756" t="n"/>
      <c r="R275" s="756" t="n"/>
      <c r="S275" s="756" t="n"/>
      <c r="T275" s="779" t="n"/>
      <c r="U275" s="779" t="n"/>
      <c r="V275" s="756" t="n"/>
      <c r="W275" s="756" t="n"/>
      <c r="X275" s="756" t="n"/>
      <c r="Y275" s="756" t="n"/>
      <c r="Z275" s="756" t="n"/>
      <c r="AA275" s="779" t="n"/>
      <c r="AB275" s="779" t="n"/>
      <c r="AC275" s="756" t="n"/>
      <c r="AD275" s="756" t="n"/>
      <c r="AE275" s="756" t="n"/>
      <c r="AF275" s="756" t="n"/>
      <c r="AG275" s="756" t="n"/>
      <c r="AH275" s="779" t="n"/>
    </row>
    <row r="276" s="757"/>
    <row r="277" s="757"/>
    <row r="278"/>
    <row r="279" ht="21.75" customHeight="1" s="757" thickBot="1">
      <c r="A279" s="854" t="inlineStr">
        <is>
          <t>AGOST 2027</t>
        </is>
      </c>
      <c r="B279" s="156" t="n"/>
      <c r="C279" s="156" t="n"/>
      <c r="D279" s="156" t="n"/>
      <c r="E279" s="156" t="n"/>
      <c r="F279" s="156" t="n"/>
      <c r="G279" s="156" t="n"/>
      <c r="H279" s="156" t="n"/>
      <c r="I279" s="156" t="n"/>
      <c r="J279" s="156" t="n"/>
      <c r="K279" s="156" t="n"/>
      <c r="L279" s="156" t="n"/>
      <c r="M279" s="156" t="n"/>
      <c r="N279" s="156" t="n"/>
      <c r="O279" s="156" t="n"/>
      <c r="P279" s="156" t="n"/>
      <c r="Q279" s="156" t="n"/>
      <c r="R279" s="156" t="n"/>
      <c r="S279" s="156" t="n"/>
      <c r="T279" s="156" t="n"/>
      <c r="U279" s="156" t="n"/>
      <c r="V279" s="156" t="n"/>
      <c r="W279" s="156" t="n"/>
      <c r="X279" s="156" t="n"/>
      <c r="Y279" s="156" t="n"/>
      <c r="Z279" s="156" t="n"/>
      <c r="AA279" s="156" t="n"/>
      <c r="AB279" s="156" t="n"/>
      <c r="AC279" s="156" t="n"/>
      <c r="AD279" s="156" t="n"/>
      <c r="AE279" s="156" t="n"/>
      <c r="AF279" s="156" t="n"/>
      <c r="AG279" s="156" t="n"/>
      <c r="AH279" s="142" t="n"/>
      <c r="AI279" s="500" t="n">
        <v>7</v>
      </c>
    </row>
    <row r="280" ht="51" customHeight="1" s="757">
      <c r="A280" s="7" t="inlineStr">
        <is>
          <t>AULA</t>
        </is>
      </c>
      <c r="B280" s="8" t="inlineStr">
        <is>
          <t>INICI</t>
        </is>
      </c>
      <c r="C280" s="8" t="inlineStr">
        <is>
          <t>FINAL</t>
        </is>
      </c>
      <c r="D280" s="9" t="n">
        <v>46600</v>
      </c>
      <c r="E280" s="9" t="n">
        <v>46601</v>
      </c>
      <c r="F280" s="9" t="n">
        <v>46602</v>
      </c>
      <c r="G280" s="9" t="n">
        <v>46603</v>
      </c>
      <c r="H280" s="9" t="n">
        <v>46604</v>
      </c>
      <c r="I280" s="9" t="n">
        <v>46605</v>
      </c>
      <c r="J280" s="9" t="n">
        <v>46606</v>
      </c>
      <c r="K280" s="9" t="n">
        <v>46607</v>
      </c>
      <c r="L280" s="9" t="n">
        <v>46608</v>
      </c>
      <c r="M280" s="9" t="n">
        <v>46609</v>
      </c>
      <c r="N280" s="9" t="n">
        <v>46610</v>
      </c>
      <c r="O280" s="9" t="n">
        <v>46611</v>
      </c>
      <c r="P280" s="9" t="n">
        <v>46612</v>
      </c>
      <c r="Q280" s="9" t="n">
        <v>46613</v>
      </c>
      <c r="R280" s="9" t="n">
        <v>46614</v>
      </c>
      <c r="S280" s="9" t="n">
        <v>46615</v>
      </c>
      <c r="T280" s="9" t="n">
        <v>46616</v>
      </c>
      <c r="U280" s="9" t="n">
        <v>46617</v>
      </c>
      <c r="V280" s="9" t="n">
        <v>46618</v>
      </c>
      <c r="W280" s="9" t="n">
        <v>46619</v>
      </c>
      <c r="X280" s="9" t="n">
        <v>46620</v>
      </c>
      <c r="Y280" s="9" t="n">
        <v>46621</v>
      </c>
      <c r="Z280" s="9" t="n">
        <v>46622</v>
      </c>
      <c r="AA280" s="9" t="n">
        <v>46623</v>
      </c>
      <c r="AB280" s="9" t="n">
        <v>46624</v>
      </c>
      <c r="AC280" s="9" t="n">
        <v>46625</v>
      </c>
      <c r="AD280" s="9" t="n">
        <v>46626</v>
      </c>
      <c r="AE280" s="9" t="n">
        <v>46627</v>
      </c>
      <c r="AF280" s="9" t="n">
        <v>46628</v>
      </c>
      <c r="AG280" s="9" t="n">
        <v>46629</v>
      </c>
      <c r="AH280" s="9" t="n">
        <v>46630</v>
      </c>
      <c r="AI280" s="4" t="n"/>
    </row>
    <row r="281" ht="15.75" customHeight="1" s="757">
      <c r="A281" s="10" t="inlineStr">
        <is>
          <t>GOOGLE MATINS</t>
        </is>
      </c>
      <c r="B281" s="11" t="n"/>
      <c r="C281" s="11" t="n"/>
      <c r="D281" s="779" t="n"/>
      <c r="E281" s="225" t="n"/>
      <c r="F281" s="225" t="n"/>
      <c r="G281" s="225" t="n"/>
      <c r="H281" s="225" t="n"/>
      <c r="I281" s="225" t="n"/>
      <c r="J281" s="779" t="n"/>
      <c r="K281" s="779" t="n"/>
      <c r="L281" s="225" t="n"/>
      <c r="M281" s="225" t="n"/>
      <c r="N281" s="225" t="n"/>
      <c r="O281" s="225" t="n"/>
      <c r="P281" s="225" t="n"/>
      <c r="Q281" s="779" t="n"/>
      <c r="R281" s="779" t="n"/>
      <c r="S281" s="225" t="n"/>
      <c r="T281" s="225" t="n"/>
      <c r="U281" s="225" t="n"/>
      <c r="V281" s="225" t="n"/>
      <c r="W281" s="225" t="n"/>
      <c r="X281" s="779" t="n"/>
      <c r="Y281" s="779" t="n"/>
      <c r="Z281" s="756" t="n"/>
      <c r="AA281" s="756" t="n"/>
      <c r="AB281" s="756" t="n"/>
      <c r="AC281" s="756" t="n"/>
      <c r="AD281" s="756" t="n"/>
      <c r="AE281" s="779" t="n"/>
      <c r="AF281" s="779" t="n"/>
      <c r="AG281" s="756" t="n"/>
      <c r="AH281" s="756" t="n"/>
      <c r="AI281" s="4" t="n"/>
      <c r="AK281" s="627" t="n"/>
      <c r="AL281" s="774" t="n"/>
    </row>
    <row r="282" ht="15.75" customHeight="1" s="757">
      <c r="A282" s="10" t="inlineStr">
        <is>
          <t>FIREFOX matí</t>
        </is>
      </c>
      <c r="B282" s="456" t="n"/>
      <c r="C282" s="456" t="n"/>
      <c r="D282" s="784" t="n"/>
      <c r="E282" s="225" t="n"/>
      <c r="F282" s="225" t="n"/>
      <c r="G282" s="225" t="n"/>
      <c r="H282" s="225" t="n"/>
      <c r="I282" s="225" t="n"/>
      <c r="J282" s="779" t="n"/>
      <c r="K282" s="779" t="n"/>
      <c r="L282" s="225" t="n"/>
      <c r="M282" s="225" t="n"/>
      <c r="N282" s="225" t="n"/>
      <c r="O282" s="225" t="n"/>
      <c r="P282" s="225" t="n"/>
      <c r="Q282" s="779" t="n"/>
      <c r="R282" s="779" t="n"/>
      <c r="S282" s="225" t="n"/>
      <c r="T282" s="225" t="n"/>
      <c r="U282" s="225" t="n"/>
      <c r="V282" s="225" t="n"/>
      <c r="W282" s="225" t="n"/>
      <c r="X282" s="779" t="n"/>
      <c r="Y282" s="779" t="n"/>
      <c r="Z282" s="756" t="n"/>
      <c r="AA282" s="756" t="n"/>
      <c r="AB282" s="756" t="n"/>
      <c r="AC282" s="756" t="n"/>
      <c r="AD282" s="756" t="n"/>
      <c r="AE282" s="779" t="n"/>
      <c r="AF282" s="779" t="n"/>
      <c r="AG282" s="756" t="n"/>
      <c r="AH282" s="756" t="n"/>
      <c r="AI282" s="4" t="n"/>
      <c r="AK282" s="774" t="n"/>
      <c r="AL282" s="774" t="n"/>
    </row>
    <row r="283" ht="19.5" customHeight="1" s="757" thickBot="1">
      <c r="A283" s="14" t="inlineStr">
        <is>
          <t>COPILOT matí</t>
        </is>
      </c>
      <c r="B283" s="15" t="n"/>
      <c r="C283" s="15" t="n"/>
      <c r="D283" s="785" t="n"/>
      <c r="E283" s="515" t="n"/>
      <c r="F283" s="515" t="n"/>
      <c r="G283" s="515" t="n"/>
      <c r="H283" s="515" t="n"/>
      <c r="I283" s="515" t="n"/>
      <c r="J283" s="780" t="n"/>
      <c r="K283" s="780" t="n"/>
      <c r="L283" s="515" t="n"/>
      <c r="M283" s="515" t="n"/>
      <c r="N283" s="515" t="n"/>
      <c r="O283" s="515" t="n"/>
      <c r="P283" s="515" t="n"/>
      <c r="Q283" s="780" t="n"/>
      <c r="R283" s="780" t="n"/>
      <c r="S283" s="515" t="n"/>
      <c r="T283" s="515" t="n"/>
      <c r="U283" s="515" t="n"/>
      <c r="V283" s="515" t="n"/>
      <c r="W283" s="515" t="n"/>
      <c r="X283" s="780" t="n"/>
      <c r="Y283" s="780" t="n"/>
      <c r="Z283" s="778" t="n"/>
      <c r="AA283" s="778" t="n"/>
      <c r="AB283" s="778" t="n"/>
      <c r="AC283" s="778" t="n"/>
      <c r="AD283" s="778" t="n"/>
      <c r="AE283" s="780" t="n"/>
      <c r="AF283" s="780" t="n"/>
      <c r="AG283" s="778" t="n"/>
      <c r="AH283" s="778" t="n"/>
      <c r="AI283" s="4" t="n"/>
      <c r="AJ283" s="428" t="n"/>
      <c r="AK283" s="775" t="n"/>
    </row>
    <row r="284" ht="16.5" customHeight="1" s="757" thickTop="1">
      <c r="A284" s="17" t="inlineStr">
        <is>
          <t>GOOGLE tarda</t>
        </is>
      </c>
      <c r="B284" s="18" t="n"/>
      <c r="C284" s="18" t="n"/>
      <c r="D284" s="781" t="n"/>
      <c r="E284" s="225" t="n"/>
      <c r="F284" s="225" t="n"/>
      <c r="G284" s="225" t="n"/>
      <c r="H284" s="225" t="n"/>
      <c r="I284" s="225" t="n"/>
      <c r="J284" s="779" t="n"/>
      <c r="K284" s="779" t="n"/>
      <c r="L284" s="225" t="n"/>
      <c r="M284" s="225" t="n"/>
      <c r="N284" s="225" t="n"/>
      <c r="O284" s="225" t="n"/>
      <c r="P284" s="225" t="n"/>
      <c r="Q284" s="779" t="n"/>
      <c r="R284" s="779" t="n"/>
      <c r="S284" s="225" t="n"/>
      <c r="T284" s="225" t="n"/>
      <c r="U284" s="225" t="n"/>
      <c r="V284" s="225" t="n"/>
      <c r="W284" s="225" t="n"/>
      <c r="X284" s="779" t="n"/>
      <c r="Y284" s="779" t="n"/>
      <c r="Z284" s="756" t="n"/>
      <c r="AA284" s="756" t="n"/>
      <c r="AB284" s="756" t="n"/>
      <c r="AC284" s="756" t="n"/>
      <c r="AD284" s="756" t="n"/>
      <c r="AE284" s="779" t="n"/>
      <c r="AF284" s="779" t="n"/>
      <c r="AG284" s="756" t="n"/>
      <c r="AH284" s="756" t="n"/>
      <c r="AI284" s="4" t="n"/>
    </row>
    <row r="285" ht="15.75" customHeight="1" s="757">
      <c r="A285" s="10" t="inlineStr">
        <is>
          <t>FIREFOX tarda</t>
        </is>
      </c>
      <c r="B285" s="11" t="n"/>
      <c r="C285" s="11" t="n"/>
      <c r="D285" s="779" t="n"/>
      <c r="E285" s="225" t="n"/>
      <c r="F285" s="225" t="n"/>
      <c r="G285" s="225" t="n"/>
      <c r="H285" s="225" t="n"/>
      <c r="I285" s="225" t="n"/>
      <c r="J285" s="779" t="n"/>
      <c r="K285" s="779" t="n"/>
      <c r="L285" s="225" t="n"/>
      <c r="M285" s="225" t="n"/>
      <c r="N285" s="225" t="n"/>
      <c r="O285" s="225" t="n"/>
      <c r="P285" s="225" t="n"/>
      <c r="Q285" s="779" t="n"/>
      <c r="R285" s="779" t="n"/>
      <c r="S285" s="225" t="n"/>
      <c r="T285" s="225" t="n"/>
      <c r="U285" s="225" t="n"/>
      <c r="V285" s="225" t="n"/>
      <c r="W285" s="225" t="n"/>
      <c r="X285" s="779" t="n"/>
      <c r="Y285" s="779" t="n"/>
      <c r="Z285" s="756" t="n"/>
      <c r="AA285" s="756" t="n"/>
      <c r="AB285" s="756" t="n"/>
      <c r="AC285" s="756" t="n"/>
      <c r="AD285" s="756" t="n"/>
      <c r="AE285" s="779" t="n"/>
      <c r="AF285" s="779" t="n"/>
      <c r="AG285" s="756" t="n"/>
      <c r="AH285" s="756" t="n"/>
    </row>
    <row r="286" ht="16.5" customHeight="1" s="757" thickBot="1">
      <c r="A286" s="14" t="inlineStr">
        <is>
          <t>COPILOT tarda</t>
        </is>
      </c>
      <c r="B286" s="15" t="n"/>
      <c r="C286" s="15" t="n"/>
      <c r="D286" s="785" t="n"/>
      <c r="E286" s="515" t="n"/>
      <c r="F286" s="515" t="n"/>
      <c r="G286" s="515" t="n"/>
      <c r="H286" s="515" t="n"/>
      <c r="I286" s="515" t="n"/>
      <c r="J286" s="780" t="n"/>
      <c r="K286" s="780" t="n"/>
      <c r="L286" s="515" t="n"/>
      <c r="M286" s="515" t="n"/>
      <c r="N286" s="515" t="n"/>
      <c r="O286" s="515" t="n"/>
      <c r="P286" s="515" t="n"/>
      <c r="Q286" s="780" t="n"/>
      <c r="R286" s="780" t="n"/>
      <c r="S286" s="515" t="n"/>
      <c r="T286" s="515" t="n"/>
      <c r="U286" s="515" t="n"/>
      <c r="V286" s="515" t="n"/>
      <c r="W286" s="515" t="n"/>
      <c r="X286" s="780" t="n"/>
      <c r="Y286" s="780" t="n"/>
      <c r="Z286" s="778" t="n"/>
      <c r="AA286" s="778" t="n"/>
      <c r="AB286" s="778" t="n"/>
      <c r="AC286" s="778" t="n"/>
      <c r="AD286" s="778" t="n"/>
      <c r="AE286" s="780" t="n"/>
      <c r="AF286" s="780" t="n"/>
      <c r="AG286" s="778" t="n"/>
      <c r="AH286" s="778" t="n"/>
    </row>
    <row r="287" ht="16.5" customHeight="1" s="757" thickTop="1">
      <c r="A287" s="10" t="inlineStr">
        <is>
          <t>TARRAGONA matí</t>
        </is>
      </c>
      <c r="B287" s="11" t="n"/>
      <c r="C287" s="11" t="n"/>
      <c r="D287" s="781" t="n"/>
      <c r="E287" s="786" t="n"/>
      <c r="F287" s="225" t="n"/>
      <c r="G287" s="786" t="n"/>
      <c r="H287" s="225" t="n"/>
      <c r="I287" s="786" t="n"/>
      <c r="J287" s="779" t="n"/>
      <c r="K287" s="781" t="n"/>
      <c r="L287" s="225" t="n"/>
      <c r="M287" s="225" t="n"/>
      <c r="N287" s="786" t="n"/>
      <c r="O287" s="786" t="n"/>
      <c r="P287" s="225" t="n"/>
      <c r="Q287" s="779" t="n"/>
      <c r="R287" s="781" t="n"/>
      <c r="S287" s="225" t="n"/>
      <c r="T287" s="225" t="n"/>
      <c r="U287" s="786" t="n"/>
      <c r="V287" s="786" t="n"/>
      <c r="W287" s="225" t="n"/>
      <c r="X287" s="779" t="n"/>
      <c r="Y287" s="781" t="n"/>
      <c r="Z287" s="756" t="n"/>
      <c r="AA287" s="756" t="n"/>
      <c r="AB287" s="755" t="n"/>
      <c r="AC287" s="755" t="n"/>
      <c r="AD287" s="756" t="n"/>
      <c r="AE287" s="779" t="n"/>
      <c r="AF287" s="781" t="n"/>
      <c r="AG287" s="756" t="n"/>
      <c r="AH287" s="756" t="n"/>
    </row>
    <row r="288" ht="15.75" customHeight="1" s="757">
      <c r="A288" s="12" t="inlineStr">
        <is>
          <t>TARRAGONA tarda</t>
        </is>
      </c>
      <c r="B288" s="11" t="n"/>
      <c r="C288" s="11" t="n"/>
      <c r="D288" s="779" t="n"/>
      <c r="E288" s="225" t="n"/>
      <c r="F288" s="225" t="n"/>
      <c r="G288" s="225" t="n"/>
      <c r="H288" s="225" t="n"/>
      <c r="I288" s="225" t="n"/>
      <c r="J288" s="779" t="n"/>
      <c r="K288" s="779" t="n"/>
      <c r="L288" s="225" t="n"/>
      <c r="M288" s="225" t="n"/>
      <c r="N288" s="225" t="n"/>
      <c r="O288" s="225" t="n"/>
      <c r="P288" s="225" t="n"/>
      <c r="Q288" s="779" t="n"/>
      <c r="R288" s="779" t="n"/>
      <c r="S288" s="225" t="n"/>
      <c r="T288" s="225" t="n"/>
      <c r="U288" s="225" t="n"/>
      <c r="V288" s="225" t="n"/>
      <c r="W288" s="225" t="n"/>
      <c r="X288" s="779" t="n"/>
      <c r="Y288" s="779" t="n"/>
      <c r="Z288" s="756" t="n"/>
      <c r="AA288" s="756" t="n"/>
      <c r="AB288" s="756" t="n"/>
      <c r="AC288" s="756" t="n"/>
      <c r="AD288" s="756" t="n"/>
      <c r="AE288" s="779" t="n"/>
      <c r="AF288" s="779" t="n"/>
      <c r="AG288" s="756" t="n"/>
      <c r="AH288" s="756" t="n"/>
    </row>
    <row r="289" ht="15.75" customHeight="1" s="757">
      <c r="A289" s="12" t="inlineStr">
        <is>
          <t>ONLINE</t>
        </is>
      </c>
      <c r="B289" s="11" t="n"/>
      <c r="C289" s="11" t="n"/>
      <c r="D289" s="779" t="n"/>
      <c r="E289" s="225" t="n"/>
      <c r="F289" s="225" t="n"/>
      <c r="G289" s="225" t="n"/>
      <c r="H289" s="225" t="n"/>
      <c r="I289" s="225" t="n"/>
      <c r="J289" s="779" t="n"/>
      <c r="K289" s="779" t="n"/>
      <c r="L289" s="225" t="n"/>
      <c r="M289" s="225" t="n"/>
      <c r="N289" s="225" t="n"/>
      <c r="O289" s="225" t="n"/>
      <c r="P289" s="225" t="n"/>
      <c r="Q289" s="779" t="n"/>
      <c r="R289" s="779" t="n"/>
      <c r="S289" s="225" t="n"/>
      <c r="T289" s="225" t="n"/>
      <c r="U289" s="225" t="n"/>
      <c r="V289" s="225" t="n"/>
      <c r="W289" s="225" t="n"/>
      <c r="X289" s="779" t="n"/>
      <c r="Y289" s="779" t="n"/>
      <c r="Z289" s="756" t="n"/>
      <c r="AA289" s="756" t="n"/>
      <c r="AB289" s="756" t="n"/>
      <c r="AC289" s="756" t="n"/>
      <c r="AD289" s="756" t="n"/>
      <c r="AE289" s="779" t="n"/>
      <c r="AF289" s="779" t="n"/>
      <c r="AG289" s="756" t="n"/>
      <c r="AH289" s="756" t="n"/>
    </row>
    <row r="290"/>
    <row r="293" ht="21.75" customHeight="1" s="757">
      <c r="A293" s="805" t="inlineStr">
        <is>
          <t>SETEMBRE 2027</t>
        </is>
      </c>
      <c r="B293" s="156" t="n"/>
      <c r="C293" s="156" t="n"/>
      <c r="D293" s="156" t="n"/>
      <c r="E293" s="156" t="n"/>
      <c r="F293" s="156" t="n"/>
      <c r="G293" s="156" t="n"/>
      <c r="H293" s="156" t="n"/>
      <c r="I293" s="156" t="n"/>
      <c r="J293" s="156" t="n"/>
      <c r="K293" s="156" t="n"/>
      <c r="L293" s="156" t="n"/>
      <c r="M293" s="156" t="n"/>
      <c r="N293" s="156" t="n"/>
      <c r="O293" s="156" t="n"/>
      <c r="P293" s="156" t="n"/>
      <c r="Q293" s="156" t="n"/>
      <c r="R293" s="156" t="n"/>
      <c r="S293" s="156" t="n"/>
      <c r="T293" s="156" t="n"/>
      <c r="U293" s="156" t="n"/>
      <c r="V293" s="156" t="n"/>
      <c r="W293" s="156" t="n"/>
      <c r="X293" s="156" t="n"/>
      <c r="Y293" s="156" t="n"/>
      <c r="Z293" s="156" t="n"/>
      <c r="AA293" s="156" t="n"/>
      <c r="AB293" s="156" t="n"/>
      <c r="AC293" s="156" t="n"/>
      <c r="AD293" s="156" t="n"/>
      <c r="AE293" s="156" t="n"/>
      <c r="AF293" s="156" t="n"/>
      <c r="AG293" s="156" t="n"/>
      <c r="AH293" s="142" t="n"/>
      <c r="AI293" s="500" t="n">
        <v>22</v>
      </c>
      <c r="AK293" s="898" t="inlineStr">
        <is>
          <t>Festius: 11/09 Diada Nacional de Catalunya (Autonòmic)</t>
        </is>
      </c>
    </row>
    <row r="294" ht="51" customHeight="1" s="757">
      <c r="A294" s="7" t="inlineStr">
        <is>
          <t>AULA</t>
        </is>
      </c>
      <c r="B294" s="8" t="inlineStr">
        <is>
          <t>INICI</t>
        </is>
      </c>
      <c r="C294" s="8" t="inlineStr">
        <is>
          <t>FINAL</t>
        </is>
      </c>
      <c r="D294" s="9" t="n">
        <v>46631</v>
      </c>
      <c r="E294" s="9" t="n">
        <v>46632</v>
      </c>
      <c r="F294" s="9" t="n">
        <v>46633</v>
      </c>
      <c r="G294" s="9" t="n">
        <v>46634</v>
      </c>
      <c r="H294" s="9" t="n">
        <v>46635</v>
      </c>
      <c r="I294" s="9" t="n">
        <v>46636</v>
      </c>
      <c r="J294" s="9" t="n">
        <v>46637</v>
      </c>
      <c r="K294" s="9" t="n">
        <v>46638</v>
      </c>
      <c r="L294" s="9" t="n">
        <v>46639</v>
      </c>
      <c r="M294" s="9" t="n">
        <v>46640</v>
      </c>
      <c r="N294" s="9" t="n">
        <v>46641</v>
      </c>
      <c r="O294" s="9" t="n">
        <v>46642</v>
      </c>
      <c r="P294" s="9" t="n">
        <v>46643</v>
      </c>
      <c r="Q294" s="9" t="n">
        <v>46644</v>
      </c>
      <c r="R294" s="9" t="n">
        <v>46645</v>
      </c>
      <c r="S294" s="9" t="n">
        <v>46646</v>
      </c>
      <c r="T294" s="9" t="n">
        <v>46647</v>
      </c>
      <c r="U294" s="9" t="n">
        <v>46648</v>
      </c>
      <c r="V294" s="9" t="n">
        <v>46649</v>
      </c>
      <c r="W294" s="9" t="n">
        <v>46650</v>
      </c>
      <c r="X294" s="9" t="n">
        <v>46651</v>
      </c>
      <c r="Y294" s="9" t="n">
        <v>46652</v>
      </c>
      <c r="Z294" s="9" t="n">
        <v>46653</v>
      </c>
      <c r="AA294" s="9" t="n">
        <v>46654</v>
      </c>
      <c r="AB294" s="9" t="n">
        <v>46655</v>
      </c>
      <c r="AC294" s="9" t="n">
        <v>46656</v>
      </c>
      <c r="AD294" s="9" t="n">
        <v>46657</v>
      </c>
      <c r="AE294" s="9" t="n">
        <v>46658</v>
      </c>
      <c r="AF294" s="9" t="n">
        <v>46659</v>
      </c>
      <c r="AG294" s="9" t="n">
        <v>46660</v>
      </c>
      <c r="AH294" s="9" t="n"/>
      <c r="AI294" s="4" t="n"/>
    </row>
    <row r="295" ht="15.75" customHeight="1" s="757">
      <c r="A295" s="10" t="inlineStr">
        <is>
          <t>GOOGLE MATINS</t>
        </is>
      </c>
      <c r="B295" s="11" t="n"/>
      <c r="C295" s="11" t="n"/>
      <c r="D295" s="756" t="n"/>
      <c r="E295" s="756" t="n"/>
      <c r="F295" s="756" t="n"/>
      <c r="G295" s="899" t="n"/>
      <c r="H295" s="899" t="n"/>
      <c r="I295" s="756" t="n"/>
      <c r="J295" s="756" t="n"/>
      <c r="K295" s="756" t="n"/>
      <c r="L295" s="756" t="n"/>
      <c r="M295" s="756" t="n"/>
      <c r="N295" s="900" t="n"/>
      <c r="O295" s="899" t="n"/>
      <c r="P295" s="756" t="n"/>
      <c r="Q295" s="756" t="n"/>
      <c r="R295" s="756" t="n"/>
      <c r="S295" s="756" t="n"/>
      <c r="T295" s="756" t="n"/>
      <c r="U295" s="899" t="n"/>
      <c r="V295" s="899" t="n"/>
      <c r="W295" s="756" t="n"/>
      <c r="X295" s="756" t="n"/>
      <c r="Y295" s="756" t="n"/>
      <c r="Z295" s="756" t="n"/>
      <c r="AA295" s="756" t="n"/>
      <c r="AB295" s="899" t="n"/>
      <c r="AC295" s="899" t="n"/>
      <c r="AD295" s="756" t="n"/>
      <c r="AE295" s="756" t="n"/>
      <c r="AF295" s="756" t="n"/>
      <c r="AG295" s="756" t="n"/>
      <c r="AH295" s="756" t="n"/>
      <c r="AI295" s="4" t="n"/>
    </row>
    <row r="296" ht="15.75" customHeight="1" s="757">
      <c r="A296" s="10" t="inlineStr">
        <is>
          <t>FIREFOX matí</t>
        </is>
      </c>
      <c r="B296" s="456" t="n"/>
      <c r="C296" s="456" t="n"/>
      <c r="D296" s="782" t="n"/>
      <c r="E296" s="756" t="n"/>
      <c r="F296" s="756" t="n"/>
      <c r="G296" s="899" t="n"/>
      <c r="H296" s="899" t="n"/>
      <c r="I296" s="756" t="n"/>
      <c r="J296" s="756" t="n"/>
      <c r="K296" s="756" t="n"/>
      <c r="L296" s="756" t="n"/>
      <c r="M296" s="756" t="n"/>
      <c r="N296" s="900" t="n"/>
      <c r="O296" s="899" t="n"/>
      <c r="P296" s="756" t="n"/>
      <c r="Q296" s="756" t="n"/>
      <c r="R296" s="756" t="n"/>
      <c r="S296" s="756" t="n"/>
      <c r="T296" s="756" t="n"/>
      <c r="U296" s="899" t="n"/>
      <c r="V296" s="899" t="n"/>
      <c r="W296" s="756" t="n"/>
      <c r="X296" s="756" t="n"/>
      <c r="Y296" s="756" t="n"/>
      <c r="Z296" s="756" t="n"/>
      <c r="AA296" s="756" t="n"/>
      <c r="AB296" s="899" t="n"/>
      <c r="AC296" s="899" t="n"/>
      <c r="AD296" s="756" t="n"/>
      <c r="AE296" s="756" t="n"/>
      <c r="AF296" s="756" t="n"/>
      <c r="AG296" s="756" t="n"/>
      <c r="AH296" s="756" t="n"/>
      <c r="AI296" s="4" t="n"/>
    </row>
    <row r="297" ht="19.5" customHeight="1" s="757">
      <c r="A297" s="14" t="inlineStr">
        <is>
          <t>COPILOT matí</t>
        </is>
      </c>
      <c r="B297" s="15" t="n"/>
      <c r="C297" s="15" t="n"/>
      <c r="D297" s="783" t="n"/>
      <c r="E297" s="778" t="n"/>
      <c r="F297" s="778" t="n"/>
      <c r="G297" s="901" t="n"/>
      <c r="H297" s="901" t="n"/>
      <c r="I297" s="778" t="n"/>
      <c r="J297" s="778" t="n"/>
      <c r="K297" s="778" t="n"/>
      <c r="L297" s="778" t="n"/>
      <c r="M297" s="778" t="n"/>
      <c r="N297" s="902" t="n"/>
      <c r="O297" s="901" t="n"/>
      <c r="P297" s="778" t="n"/>
      <c r="Q297" s="778" t="n"/>
      <c r="R297" s="778" t="n"/>
      <c r="S297" s="778" t="n"/>
      <c r="T297" s="778" t="n"/>
      <c r="U297" s="901" t="n"/>
      <c r="V297" s="901" t="n"/>
      <c r="W297" s="778" t="n"/>
      <c r="X297" s="778" t="n"/>
      <c r="Y297" s="778" t="n"/>
      <c r="Z297" s="778" t="n"/>
      <c r="AA297" s="778" t="n"/>
      <c r="AB297" s="901" t="n"/>
      <c r="AC297" s="901" t="n"/>
      <c r="AD297" s="778" t="n"/>
      <c r="AE297" s="778" t="n"/>
      <c r="AF297" s="778" t="n"/>
      <c r="AG297" s="778" t="n"/>
      <c r="AH297" s="778" t="n"/>
      <c r="AI297" s="4" t="n"/>
    </row>
    <row r="298" ht="16.5" customHeight="1" s="757">
      <c r="A298" s="17" t="inlineStr">
        <is>
          <t>GOOGLE tarda</t>
        </is>
      </c>
      <c r="B298" s="18" t="n"/>
      <c r="C298" s="18" t="n"/>
      <c r="D298" s="755" t="n"/>
      <c r="E298" s="756" t="n"/>
      <c r="F298" s="756" t="n"/>
      <c r="G298" s="899" t="n"/>
      <c r="H298" s="899" t="n"/>
      <c r="I298" s="756" t="n"/>
      <c r="J298" s="756" t="n"/>
      <c r="K298" s="756" t="n"/>
      <c r="L298" s="756" t="n"/>
      <c r="M298" s="756" t="n"/>
      <c r="N298" s="900" t="n"/>
      <c r="O298" s="899" t="n"/>
      <c r="P298" s="756" t="n"/>
      <c r="Q298" s="756" t="n"/>
      <c r="R298" s="756" t="n"/>
      <c r="S298" s="756" t="n"/>
      <c r="T298" s="756" t="n"/>
      <c r="U298" s="899" t="n"/>
      <c r="V298" s="899" t="n"/>
      <c r="W298" s="756" t="n"/>
      <c r="X298" s="756" t="n"/>
      <c r="Y298" s="756" t="n"/>
      <c r="Z298" s="756" t="n"/>
      <c r="AA298" s="756" t="n"/>
      <c r="AB298" s="899" t="n"/>
      <c r="AC298" s="899" t="n"/>
      <c r="AD298" s="756" t="n"/>
      <c r="AE298" s="756" t="n"/>
      <c r="AF298" s="756" t="n"/>
      <c r="AG298" s="756" t="n"/>
      <c r="AH298" s="756" t="n"/>
      <c r="AI298" s="4" t="n"/>
    </row>
    <row r="299" ht="15.75" customHeight="1" s="757">
      <c r="A299" s="10" t="inlineStr">
        <is>
          <t>FIREFOX tarda</t>
        </is>
      </c>
      <c r="B299" s="11" t="n"/>
      <c r="C299" s="11" t="n"/>
      <c r="D299" s="756" t="n"/>
      <c r="E299" s="756" t="n"/>
      <c r="F299" s="756" t="n"/>
      <c r="G299" s="899" t="n"/>
      <c r="H299" s="899" t="n"/>
      <c r="I299" s="756" t="n"/>
      <c r="J299" s="756" t="n"/>
      <c r="K299" s="756" t="n"/>
      <c r="L299" s="756" t="n"/>
      <c r="M299" s="756" t="n"/>
      <c r="N299" s="900" t="n"/>
      <c r="O299" s="899" t="n"/>
      <c r="P299" s="756" t="n"/>
      <c r="Q299" s="756" t="n"/>
      <c r="R299" s="756" t="n"/>
      <c r="S299" s="756" t="n"/>
      <c r="T299" s="756" t="n"/>
      <c r="U299" s="899" t="n"/>
      <c r="V299" s="899" t="n"/>
      <c r="W299" s="756" t="n"/>
      <c r="X299" s="756" t="n"/>
      <c r="Y299" s="756" t="n"/>
      <c r="Z299" s="756" t="n"/>
      <c r="AA299" s="756" t="n"/>
      <c r="AB299" s="899" t="n"/>
      <c r="AC299" s="899" t="n"/>
      <c r="AD299" s="756" t="n"/>
      <c r="AE299" s="756" t="n"/>
      <c r="AF299" s="756" t="n"/>
      <c r="AG299" s="756" t="n"/>
      <c r="AH299" s="756" t="n"/>
    </row>
    <row r="300" ht="16.5" customHeight="1" s="757">
      <c r="A300" s="14" t="inlineStr">
        <is>
          <t>COPILOT tarda</t>
        </is>
      </c>
      <c r="B300" s="15" t="n"/>
      <c r="C300" s="15" t="n"/>
      <c r="D300" s="783" t="n"/>
      <c r="E300" s="778" t="n"/>
      <c r="F300" s="778" t="n"/>
      <c r="G300" s="901" t="n"/>
      <c r="H300" s="901" t="n"/>
      <c r="I300" s="778" t="n"/>
      <c r="J300" s="778" t="n"/>
      <c r="K300" s="778" t="n"/>
      <c r="L300" s="778" t="n"/>
      <c r="M300" s="778" t="n"/>
      <c r="N300" s="902" t="n"/>
      <c r="O300" s="901" t="n"/>
      <c r="P300" s="778" t="n"/>
      <c r="Q300" s="778" t="n"/>
      <c r="R300" s="778" t="n"/>
      <c r="S300" s="778" t="n"/>
      <c r="T300" s="778" t="n"/>
      <c r="U300" s="901" t="n"/>
      <c r="V300" s="901" t="n"/>
      <c r="W300" s="778" t="n"/>
      <c r="X300" s="778" t="n"/>
      <c r="Y300" s="778" t="n"/>
      <c r="Z300" s="778" t="n"/>
      <c r="AA300" s="778" t="n"/>
      <c r="AB300" s="901" t="n"/>
      <c r="AC300" s="901" t="n"/>
      <c r="AD300" s="778" t="n"/>
      <c r="AE300" s="778" t="n"/>
      <c r="AF300" s="778" t="n"/>
      <c r="AG300" s="778" t="n"/>
      <c r="AH300" s="778" t="n"/>
    </row>
    <row r="301" ht="16.5" customHeight="1" s="757">
      <c r="A301" s="10" t="inlineStr">
        <is>
          <t>TARRAGONA matí</t>
        </is>
      </c>
      <c r="B301" s="11" t="n"/>
      <c r="C301" s="11" t="n"/>
      <c r="D301" s="755" t="n"/>
      <c r="E301" s="755" t="n"/>
      <c r="F301" s="756" t="n"/>
      <c r="G301" s="903" t="n"/>
      <c r="H301" s="899" t="n"/>
      <c r="I301" s="755" t="n"/>
      <c r="J301" s="756" t="n"/>
      <c r="K301" s="755" t="n"/>
      <c r="L301" s="756" t="n"/>
      <c r="M301" s="756" t="n"/>
      <c r="N301" s="904" t="n"/>
      <c r="O301" s="903" t="n"/>
      <c r="P301" s="756" t="n"/>
      <c r="Q301" s="756" t="n"/>
      <c r="R301" s="755" t="n"/>
      <c r="S301" s="756" t="n"/>
      <c r="T301" s="756" t="n"/>
      <c r="U301" s="903" t="n"/>
      <c r="V301" s="903" t="n"/>
      <c r="W301" s="756" t="n"/>
      <c r="X301" s="756" t="n"/>
      <c r="Y301" s="755" t="n"/>
      <c r="Z301" s="756" t="n"/>
      <c r="AA301" s="756" t="n"/>
      <c r="AB301" s="903" t="n"/>
      <c r="AC301" s="903" t="n"/>
      <c r="AD301" s="756" t="n"/>
      <c r="AE301" s="756" t="n"/>
      <c r="AF301" s="755" t="n"/>
      <c r="AG301" s="756" t="n"/>
      <c r="AH301" s="756" t="n"/>
    </row>
    <row r="302" ht="15.75" customHeight="1" s="757">
      <c r="A302" s="12" t="inlineStr">
        <is>
          <t>TARRAGONA tarda</t>
        </is>
      </c>
      <c r="B302" s="11" t="n"/>
      <c r="C302" s="11" t="n"/>
      <c r="D302" s="756" t="n"/>
      <c r="E302" s="756" t="n"/>
      <c r="F302" s="756" t="n"/>
      <c r="G302" s="899" t="n"/>
      <c r="H302" s="899" t="n"/>
      <c r="I302" s="756" t="n"/>
      <c r="J302" s="756" t="n"/>
      <c r="K302" s="756" t="n"/>
      <c r="L302" s="756" t="n"/>
      <c r="M302" s="756" t="n"/>
      <c r="N302" s="900" t="n"/>
      <c r="O302" s="899" t="n"/>
      <c r="P302" s="756" t="n"/>
      <c r="Q302" s="756" t="n"/>
      <c r="R302" s="756" t="n"/>
      <c r="S302" s="756" t="n"/>
      <c r="T302" s="756" t="n"/>
      <c r="U302" s="899" t="n"/>
      <c r="V302" s="899" t="n"/>
      <c r="W302" s="756" t="n"/>
      <c r="X302" s="756" t="n"/>
      <c r="Y302" s="756" t="n"/>
      <c r="Z302" s="756" t="n"/>
      <c r="AA302" s="756" t="n"/>
      <c r="AB302" s="899" t="n"/>
      <c r="AC302" s="899" t="n"/>
      <c r="AD302" s="756" t="n"/>
      <c r="AE302" s="756" t="n"/>
      <c r="AF302" s="756" t="n"/>
      <c r="AG302" s="756" t="n"/>
      <c r="AH302" s="756" t="n"/>
    </row>
    <row r="303" ht="15.75" customHeight="1" s="757">
      <c r="A303" s="12" t="inlineStr">
        <is>
          <t>ONLINE</t>
        </is>
      </c>
      <c r="B303" s="11" t="n"/>
      <c r="C303" s="11" t="n"/>
      <c r="D303" s="756" t="n"/>
      <c r="E303" s="756" t="n"/>
      <c r="F303" s="756" t="n"/>
      <c r="G303" s="899" t="n"/>
      <c r="H303" s="899" t="n"/>
      <c r="I303" s="756" t="n"/>
      <c r="J303" s="756" t="n"/>
      <c r="K303" s="756" t="n"/>
      <c r="L303" s="756" t="n"/>
      <c r="M303" s="756" t="n"/>
      <c r="N303" s="900" t="n"/>
      <c r="O303" s="899" t="n"/>
      <c r="P303" s="756" t="n"/>
      <c r="Q303" s="756" t="n"/>
      <c r="R303" s="756" t="n"/>
      <c r="S303" s="756" t="n"/>
      <c r="T303" s="756" t="n"/>
      <c r="U303" s="899" t="n"/>
      <c r="V303" s="899" t="n"/>
      <c r="W303" s="756" t="n"/>
      <c r="X303" s="756" t="n"/>
      <c r="Y303" s="756" t="n"/>
      <c r="Z303" s="756" t="n"/>
      <c r="AA303" s="756" t="n"/>
      <c r="AB303" s="899" t="n"/>
      <c r="AC303" s="899" t="n"/>
      <c r="AD303" s="756" t="n"/>
      <c r="AE303" s="756" t="n"/>
      <c r="AF303" s="756" t="n"/>
      <c r="AG303" s="756" t="n"/>
      <c r="AH303" s="756" t="n"/>
    </row>
    <row r="304" s="757"/>
    <row r="305" s="757"/>
    <row r="306" ht="21.75" customHeight="1" s="757">
      <c r="A306" s="805" t="inlineStr">
        <is>
          <t>OCTUBRE 2027</t>
        </is>
      </c>
      <c r="B306" s="156" t="n"/>
      <c r="C306" s="156" t="n"/>
      <c r="D306" s="156" t="n"/>
      <c r="E306" s="156" t="n"/>
      <c r="F306" s="156" t="n"/>
      <c r="G306" s="156" t="n"/>
      <c r="H306" s="156" t="n"/>
      <c r="I306" s="156" t="n"/>
      <c r="J306" s="156" t="n"/>
      <c r="K306" s="156" t="n"/>
      <c r="L306" s="156" t="n"/>
      <c r="M306" s="156" t="n"/>
      <c r="N306" s="156" t="n"/>
      <c r="O306" s="156" t="n"/>
      <c r="P306" s="156" t="n"/>
      <c r="Q306" s="156" t="n"/>
      <c r="R306" s="156" t="n"/>
      <c r="S306" s="156" t="n"/>
      <c r="T306" s="156" t="n"/>
      <c r="U306" s="156" t="n"/>
      <c r="V306" s="156" t="n"/>
      <c r="W306" s="156" t="n"/>
      <c r="X306" s="156" t="n"/>
      <c r="Y306" s="156" t="n"/>
      <c r="Z306" s="156" t="n"/>
      <c r="AA306" s="156" t="n"/>
      <c r="AB306" s="156" t="n"/>
      <c r="AC306" s="156" t="n"/>
      <c r="AD306" s="156" t="n"/>
      <c r="AE306" s="156" t="n"/>
      <c r="AF306" s="156" t="n"/>
      <c r="AG306" s="156" t="n"/>
      <c r="AH306" s="142" t="n"/>
      <c r="AI306" s="500" t="n">
        <v>20</v>
      </c>
      <c r="AK306" s="898" t="inlineStr">
        <is>
          <t>Festius: 12/10 Festa Nacional d'Espanya (Nacional)</t>
        </is>
      </c>
    </row>
    <row r="307" ht="51" customHeight="1" s="757">
      <c r="A307" s="7" t="inlineStr">
        <is>
          <t>AULA</t>
        </is>
      </c>
      <c r="B307" s="8" t="inlineStr">
        <is>
          <t>INICI</t>
        </is>
      </c>
      <c r="C307" s="8" t="inlineStr">
        <is>
          <t>FINAL</t>
        </is>
      </c>
      <c r="D307" s="9" t="n">
        <v>46661</v>
      </c>
      <c r="E307" s="9" t="n">
        <v>46662</v>
      </c>
      <c r="F307" s="9" t="n">
        <v>46663</v>
      </c>
      <c r="G307" s="9" t="n">
        <v>46664</v>
      </c>
      <c r="H307" s="9" t="n">
        <v>46665</v>
      </c>
      <c r="I307" s="9" t="n">
        <v>46666</v>
      </c>
      <c r="J307" s="9" t="n">
        <v>46667</v>
      </c>
      <c r="K307" s="9" t="n">
        <v>46668</v>
      </c>
      <c r="L307" s="9" t="n">
        <v>46669</v>
      </c>
      <c r="M307" s="9" t="n">
        <v>46670</v>
      </c>
      <c r="N307" s="9" t="n">
        <v>46671</v>
      </c>
      <c r="O307" s="9" t="n">
        <v>46672</v>
      </c>
      <c r="P307" s="9" t="n">
        <v>46673</v>
      </c>
      <c r="Q307" s="9" t="n">
        <v>46674</v>
      </c>
      <c r="R307" s="9" t="n">
        <v>46675</v>
      </c>
      <c r="S307" s="9" t="n">
        <v>46676</v>
      </c>
      <c r="T307" s="9" t="n">
        <v>46677</v>
      </c>
      <c r="U307" s="9" t="n">
        <v>46678</v>
      </c>
      <c r="V307" s="9" t="n">
        <v>46679</v>
      </c>
      <c r="W307" s="9" t="n">
        <v>46680</v>
      </c>
      <c r="X307" s="9" t="n">
        <v>46681</v>
      </c>
      <c r="Y307" s="9" t="n">
        <v>46682</v>
      </c>
      <c r="Z307" s="9" t="n">
        <v>46683</v>
      </c>
      <c r="AA307" s="9" t="n">
        <v>46684</v>
      </c>
      <c r="AB307" s="9" t="n">
        <v>46685</v>
      </c>
      <c r="AC307" s="9" t="n">
        <v>46686</v>
      </c>
      <c r="AD307" s="9" t="n">
        <v>46687</v>
      </c>
      <c r="AE307" s="9" t="n">
        <v>46688</v>
      </c>
      <c r="AF307" s="9" t="n">
        <v>46689</v>
      </c>
      <c r="AG307" s="9" t="n">
        <v>46690</v>
      </c>
      <c r="AH307" s="9" t="n">
        <v>46691</v>
      </c>
      <c r="AI307" s="4" t="n"/>
    </row>
    <row r="308" ht="15.75" customHeight="1" s="757">
      <c r="A308" s="10" t="inlineStr">
        <is>
          <t>GOOGLE MATINS</t>
        </is>
      </c>
      <c r="B308" s="11" t="n"/>
      <c r="C308" s="11" t="n"/>
      <c r="D308" s="756" t="n"/>
      <c r="E308" s="899" t="n"/>
      <c r="F308" s="899" t="n"/>
      <c r="G308" s="756" t="n"/>
      <c r="H308" s="756" t="n"/>
      <c r="I308" s="756" t="n"/>
      <c r="J308" s="756" t="n"/>
      <c r="K308" s="756" t="n"/>
      <c r="L308" s="899" t="n"/>
      <c r="M308" s="899" t="n"/>
      <c r="N308" s="756" t="n"/>
      <c r="O308" s="900" t="n"/>
      <c r="P308" s="756" t="n"/>
      <c r="Q308" s="756" t="n"/>
      <c r="R308" s="756" t="n"/>
      <c r="S308" s="899" t="n"/>
      <c r="T308" s="899" t="n"/>
      <c r="U308" s="756" t="n"/>
      <c r="V308" s="756" t="n"/>
      <c r="W308" s="756" t="n"/>
      <c r="X308" s="756" t="n"/>
      <c r="Y308" s="756" t="n"/>
      <c r="Z308" s="899" t="n"/>
      <c r="AA308" s="899" t="n"/>
      <c r="AB308" s="756" t="n"/>
      <c r="AC308" s="756" t="n"/>
      <c r="AD308" s="756" t="n"/>
      <c r="AE308" s="756" t="n"/>
      <c r="AF308" s="756" t="n"/>
      <c r="AG308" s="899" t="n"/>
      <c r="AH308" s="899" t="n"/>
      <c r="AI308" s="4" t="n"/>
    </row>
    <row r="309" ht="15.75" customHeight="1" s="757">
      <c r="A309" s="10" t="inlineStr">
        <is>
          <t>FIREFOX matí</t>
        </is>
      </c>
      <c r="B309" s="456" t="n"/>
      <c r="C309" s="456" t="n"/>
      <c r="D309" s="782" t="n"/>
      <c r="E309" s="899" t="n"/>
      <c r="F309" s="899" t="n"/>
      <c r="G309" s="756" t="n"/>
      <c r="H309" s="756" t="n"/>
      <c r="I309" s="756" t="n"/>
      <c r="J309" s="756" t="n"/>
      <c r="K309" s="756" t="n"/>
      <c r="L309" s="899" t="n"/>
      <c r="M309" s="899" t="n"/>
      <c r="N309" s="756" t="n"/>
      <c r="O309" s="900" t="n"/>
      <c r="P309" s="756" t="n"/>
      <c r="Q309" s="756" t="n"/>
      <c r="R309" s="756" t="n"/>
      <c r="S309" s="899" t="n"/>
      <c r="T309" s="899" t="n"/>
      <c r="U309" s="756" t="n"/>
      <c r="V309" s="756" t="n"/>
      <c r="W309" s="756" t="n"/>
      <c r="X309" s="756" t="n"/>
      <c r="Y309" s="756" t="n"/>
      <c r="Z309" s="899" t="n"/>
      <c r="AA309" s="899" t="n"/>
      <c r="AB309" s="756" t="n"/>
      <c r="AC309" s="756" t="n"/>
      <c r="AD309" s="756" t="n"/>
      <c r="AE309" s="756" t="n"/>
      <c r="AF309" s="756" t="n"/>
      <c r="AG309" s="899" t="n"/>
      <c r="AH309" s="899" t="n"/>
      <c r="AI309" s="4" t="n"/>
    </row>
    <row r="310" ht="19.5" customHeight="1" s="757">
      <c r="A310" s="14" t="inlineStr">
        <is>
          <t>COPILOT matí</t>
        </is>
      </c>
      <c r="B310" s="15" t="n"/>
      <c r="C310" s="15" t="n"/>
      <c r="D310" s="783" t="n"/>
      <c r="E310" s="901" t="n"/>
      <c r="F310" s="901" t="n"/>
      <c r="G310" s="778" t="n"/>
      <c r="H310" s="778" t="n"/>
      <c r="I310" s="778" t="n"/>
      <c r="J310" s="778" t="n"/>
      <c r="K310" s="778" t="n"/>
      <c r="L310" s="901" t="n"/>
      <c r="M310" s="901" t="n"/>
      <c r="N310" s="778" t="n"/>
      <c r="O310" s="902" t="n"/>
      <c r="P310" s="778" t="n"/>
      <c r="Q310" s="778" t="n"/>
      <c r="R310" s="778" t="n"/>
      <c r="S310" s="901" t="n"/>
      <c r="T310" s="901" t="n"/>
      <c r="U310" s="778" t="n"/>
      <c r="V310" s="778" t="n"/>
      <c r="W310" s="778" t="n"/>
      <c r="X310" s="778" t="n"/>
      <c r="Y310" s="778" t="n"/>
      <c r="Z310" s="901" t="n"/>
      <c r="AA310" s="901" t="n"/>
      <c r="AB310" s="778" t="n"/>
      <c r="AC310" s="778" t="n"/>
      <c r="AD310" s="778" t="n"/>
      <c r="AE310" s="778" t="n"/>
      <c r="AF310" s="778" t="n"/>
      <c r="AG310" s="901" t="n"/>
      <c r="AH310" s="901" t="n"/>
      <c r="AI310" s="4" t="n"/>
    </row>
    <row r="311" ht="16.5" customHeight="1" s="757">
      <c r="A311" s="17" t="inlineStr">
        <is>
          <t>GOOGLE tarda</t>
        </is>
      </c>
      <c r="B311" s="18" t="n"/>
      <c r="C311" s="18" t="n"/>
      <c r="D311" s="755" t="n"/>
      <c r="E311" s="899" t="n"/>
      <c r="F311" s="899" t="n"/>
      <c r="G311" s="756" t="n"/>
      <c r="H311" s="756" t="n"/>
      <c r="I311" s="756" t="n"/>
      <c r="J311" s="756" t="n"/>
      <c r="K311" s="756" t="n"/>
      <c r="L311" s="899" t="n"/>
      <c r="M311" s="899" t="n"/>
      <c r="N311" s="756" t="n"/>
      <c r="O311" s="900" t="n"/>
      <c r="P311" s="756" t="n"/>
      <c r="Q311" s="756" t="n"/>
      <c r="R311" s="756" t="n"/>
      <c r="S311" s="899" t="n"/>
      <c r="T311" s="899" t="n"/>
      <c r="U311" s="756" t="n"/>
      <c r="V311" s="756" t="n"/>
      <c r="W311" s="756" t="n"/>
      <c r="X311" s="756" t="n"/>
      <c r="Y311" s="756" t="n"/>
      <c r="Z311" s="899" t="n"/>
      <c r="AA311" s="899" t="n"/>
      <c r="AB311" s="756" t="n"/>
      <c r="AC311" s="756" t="n"/>
      <c r="AD311" s="756" t="n"/>
      <c r="AE311" s="756" t="n"/>
      <c r="AF311" s="756" t="n"/>
      <c r="AG311" s="899" t="n"/>
      <c r="AH311" s="899" t="n"/>
      <c r="AI311" s="4" t="n"/>
    </row>
    <row r="312" ht="15.75" customHeight="1" s="757">
      <c r="A312" s="10" t="inlineStr">
        <is>
          <t>FIREFOX tarda</t>
        </is>
      </c>
      <c r="B312" s="11" t="n"/>
      <c r="C312" s="11" t="n"/>
      <c r="D312" s="756" t="n"/>
      <c r="E312" s="899" t="n"/>
      <c r="F312" s="899" t="n"/>
      <c r="G312" s="756" t="n"/>
      <c r="H312" s="756" t="n"/>
      <c r="I312" s="756" t="n"/>
      <c r="J312" s="756" t="n"/>
      <c r="K312" s="756" t="n"/>
      <c r="L312" s="899" t="n"/>
      <c r="M312" s="899" t="n"/>
      <c r="N312" s="756" t="n"/>
      <c r="O312" s="900" t="n"/>
      <c r="P312" s="756" t="n"/>
      <c r="Q312" s="756" t="n"/>
      <c r="R312" s="756" t="n"/>
      <c r="S312" s="899" t="n"/>
      <c r="T312" s="899" t="n"/>
      <c r="U312" s="756" t="n"/>
      <c r="V312" s="756" t="n"/>
      <c r="W312" s="756" t="n"/>
      <c r="X312" s="756" t="n"/>
      <c r="Y312" s="756" t="n"/>
      <c r="Z312" s="899" t="n"/>
      <c r="AA312" s="899" t="n"/>
      <c r="AB312" s="756" t="n"/>
      <c r="AC312" s="756" t="n"/>
      <c r="AD312" s="756" t="n"/>
      <c r="AE312" s="756" t="n"/>
      <c r="AF312" s="756" t="n"/>
      <c r="AG312" s="899" t="n"/>
      <c r="AH312" s="899" t="n"/>
    </row>
    <row r="313" ht="16.5" customHeight="1" s="757">
      <c r="A313" s="14" t="inlineStr">
        <is>
          <t>COPILOT tarda</t>
        </is>
      </c>
      <c r="B313" s="15" t="n"/>
      <c r="C313" s="15" t="n"/>
      <c r="D313" s="783" t="n"/>
      <c r="E313" s="901" t="n"/>
      <c r="F313" s="901" t="n"/>
      <c r="G313" s="778" t="n"/>
      <c r="H313" s="778" t="n"/>
      <c r="I313" s="778" t="n"/>
      <c r="J313" s="778" t="n"/>
      <c r="K313" s="778" t="n"/>
      <c r="L313" s="901" t="n"/>
      <c r="M313" s="901" t="n"/>
      <c r="N313" s="778" t="n"/>
      <c r="O313" s="902" t="n"/>
      <c r="P313" s="778" t="n"/>
      <c r="Q313" s="778" t="n"/>
      <c r="R313" s="778" t="n"/>
      <c r="S313" s="901" t="n"/>
      <c r="T313" s="901" t="n"/>
      <c r="U313" s="778" t="n"/>
      <c r="V313" s="778" t="n"/>
      <c r="W313" s="778" t="n"/>
      <c r="X313" s="778" t="n"/>
      <c r="Y313" s="778" t="n"/>
      <c r="Z313" s="901" t="n"/>
      <c r="AA313" s="901" t="n"/>
      <c r="AB313" s="778" t="n"/>
      <c r="AC313" s="778" t="n"/>
      <c r="AD313" s="778" t="n"/>
      <c r="AE313" s="778" t="n"/>
      <c r="AF313" s="778" t="n"/>
      <c r="AG313" s="901" t="n"/>
      <c r="AH313" s="901" t="n"/>
    </row>
    <row r="314" ht="16.5" customHeight="1" s="757">
      <c r="A314" s="10" t="inlineStr">
        <is>
          <t>TARRAGONA matí</t>
        </is>
      </c>
      <c r="B314" s="11" t="n"/>
      <c r="C314" s="11" t="n"/>
      <c r="D314" s="755" t="n"/>
      <c r="E314" s="903" t="n"/>
      <c r="F314" s="899" t="n"/>
      <c r="G314" s="755" t="n"/>
      <c r="H314" s="756" t="n"/>
      <c r="I314" s="755" t="n"/>
      <c r="J314" s="756" t="n"/>
      <c r="K314" s="755" t="n"/>
      <c r="L314" s="899" t="n"/>
      <c r="M314" s="899" t="n"/>
      <c r="N314" s="755" t="n"/>
      <c r="O314" s="904" t="n"/>
      <c r="P314" s="756" t="n"/>
      <c r="Q314" s="756" t="n"/>
      <c r="R314" s="755" t="n"/>
      <c r="S314" s="899" t="n"/>
      <c r="T314" s="899" t="n"/>
      <c r="U314" s="755" t="n"/>
      <c r="V314" s="755" t="n"/>
      <c r="W314" s="756" t="n"/>
      <c r="X314" s="756" t="n"/>
      <c r="Y314" s="755" t="n"/>
      <c r="Z314" s="899" t="n"/>
      <c r="AA314" s="899" t="n"/>
      <c r="AB314" s="755" t="n"/>
      <c r="AC314" s="755" t="n"/>
      <c r="AD314" s="756" t="n"/>
      <c r="AE314" s="756" t="n"/>
      <c r="AF314" s="755" t="n"/>
      <c r="AG314" s="899" t="n"/>
      <c r="AH314" s="899" t="n"/>
    </row>
    <row r="315" ht="15.75" customHeight="1" s="757">
      <c r="A315" s="12" t="inlineStr">
        <is>
          <t>TARRAGONA tarda</t>
        </is>
      </c>
      <c r="B315" s="11" t="n"/>
      <c r="C315" s="11" t="n"/>
      <c r="D315" s="756" t="n"/>
      <c r="E315" s="899" t="n"/>
      <c r="F315" s="899" t="n"/>
      <c r="G315" s="756" t="n"/>
      <c r="H315" s="756" t="n"/>
      <c r="I315" s="756" t="n"/>
      <c r="J315" s="756" t="n"/>
      <c r="K315" s="756" t="n"/>
      <c r="L315" s="899" t="n"/>
      <c r="M315" s="899" t="n"/>
      <c r="N315" s="756" t="n"/>
      <c r="O315" s="900" t="n"/>
      <c r="P315" s="756" t="n"/>
      <c r="Q315" s="756" t="n"/>
      <c r="R315" s="756" t="n"/>
      <c r="S315" s="899" t="n"/>
      <c r="T315" s="899" t="n"/>
      <c r="U315" s="756" t="n"/>
      <c r="V315" s="756" t="n"/>
      <c r="W315" s="756" t="n"/>
      <c r="X315" s="756" t="n"/>
      <c r="Y315" s="756" t="n"/>
      <c r="Z315" s="899" t="n"/>
      <c r="AA315" s="899" t="n"/>
      <c r="AB315" s="756" t="n"/>
      <c r="AC315" s="756" t="n"/>
      <c r="AD315" s="756" t="n"/>
      <c r="AE315" s="756" t="n"/>
      <c r="AF315" s="756" t="n"/>
      <c r="AG315" s="899" t="n"/>
      <c r="AH315" s="899" t="n"/>
    </row>
    <row r="316" ht="15.75" customHeight="1" s="757">
      <c r="A316" s="12" t="inlineStr">
        <is>
          <t>ONLINE</t>
        </is>
      </c>
      <c r="B316" s="11" t="n"/>
      <c r="C316" s="11" t="n"/>
      <c r="D316" s="756" t="n"/>
      <c r="E316" s="899" t="n"/>
      <c r="F316" s="899" t="n"/>
      <c r="G316" s="756" t="n"/>
      <c r="H316" s="756" t="n"/>
      <c r="I316" s="756" t="n"/>
      <c r="J316" s="756" t="n"/>
      <c r="K316" s="756" t="n"/>
      <c r="L316" s="899" t="n"/>
      <c r="M316" s="899" t="n"/>
      <c r="N316" s="756" t="n"/>
      <c r="O316" s="900" t="n"/>
      <c r="P316" s="756" t="n"/>
      <c r="Q316" s="756" t="n"/>
      <c r="R316" s="756" t="n"/>
      <c r="S316" s="899" t="n"/>
      <c r="T316" s="899" t="n"/>
      <c r="U316" s="756" t="n"/>
      <c r="V316" s="756" t="n"/>
      <c r="W316" s="756" t="n"/>
      <c r="X316" s="756" t="n"/>
      <c r="Y316" s="756" t="n"/>
      <c r="Z316" s="899" t="n"/>
      <c r="AA316" s="899" t="n"/>
      <c r="AB316" s="756" t="n"/>
      <c r="AC316" s="756" t="n"/>
      <c r="AD316" s="756" t="n"/>
      <c r="AE316" s="756" t="n"/>
      <c r="AF316" s="756" t="n"/>
      <c r="AG316" s="899" t="n"/>
      <c r="AH316" s="899" t="n"/>
    </row>
    <row r="317" s="757"/>
    <row r="318" s="757"/>
    <row r="319" ht="21.75" customHeight="1" s="757">
      <c r="A319" s="805" t="inlineStr">
        <is>
          <t>NOVEMBRE 2027</t>
        </is>
      </c>
      <c r="B319" s="156" t="n"/>
      <c r="C319" s="156" t="n"/>
      <c r="D319" s="156" t="n"/>
      <c r="E319" s="156" t="n"/>
      <c r="F319" s="156" t="n"/>
      <c r="G319" s="156" t="n"/>
      <c r="H319" s="156" t="n"/>
      <c r="I319" s="156" t="n"/>
      <c r="J319" s="156" t="n"/>
      <c r="K319" s="156" t="n"/>
      <c r="L319" s="156" t="n"/>
      <c r="M319" s="156" t="n"/>
      <c r="N319" s="156" t="n"/>
      <c r="O319" s="156" t="n"/>
      <c r="P319" s="156" t="n"/>
      <c r="Q319" s="156" t="n"/>
      <c r="R319" s="156" t="n"/>
      <c r="S319" s="156" t="n"/>
      <c r="T319" s="156" t="n"/>
      <c r="U319" s="156" t="n"/>
      <c r="V319" s="156" t="n"/>
      <c r="W319" s="156" t="n"/>
      <c r="X319" s="156" t="n"/>
      <c r="Y319" s="156" t="n"/>
      <c r="Z319" s="156" t="n"/>
      <c r="AA319" s="156" t="n"/>
      <c r="AB319" s="156" t="n"/>
      <c r="AC319" s="156" t="n"/>
      <c r="AD319" s="156" t="n"/>
      <c r="AE319" s="156" t="n"/>
      <c r="AF319" s="156" t="n"/>
      <c r="AG319" s="156" t="n"/>
      <c r="AH319" s="142" t="n"/>
      <c r="AI319" s="500" t="n">
        <v>21</v>
      </c>
      <c r="AK319" s="898" t="inlineStr">
        <is>
          <t>Festius: 01/11 Tots Sants (Nacional)</t>
        </is>
      </c>
    </row>
    <row r="320" ht="51" customHeight="1" s="757">
      <c r="A320" s="7" t="inlineStr">
        <is>
          <t>AULA</t>
        </is>
      </c>
      <c r="B320" s="8" t="inlineStr">
        <is>
          <t>INICI</t>
        </is>
      </c>
      <c r="C320" s="8" t="inlineStr">
        <is>
          <t>FINAL</t>
        </is>
      </c>
      <c r="D320" s="9" t="n">
        <v>46692</v>
      </c>
      <c r="E320" s="9" t="n">
        <v>46693</v>
      </c>
      <c r="F320" s="9" t="n">
        <v>46694</v>
      </c>
      <c r="G320" s="9" t="n">
        <v>46695</v>
      </c>
      <c r="H320" s="9" t="n">
        <v>46696</v>
      </c>
      <c r="I320" s="9" t="n">
        <v>46697</v>
      </c>
      <c r="J320" s="9" t="n">
        <v>46698</v>
      </c>
      <c r="K320" s="9" t="n">
        <v>46699</v>
      </c>
      <c r="L320" s="9" t="n">
        <v>46700</v>
      </c>
      <c r="M320" s="9" t="n">
        <v>46701</v>
      </c>
      <c r="N320" s="9" t="n">
        <v>46702</v>
      </c>
      <c r="O320" s="9" t="n">
        <v>46703</v>
      </c>
      <c r="P320" s="9" t="n">
        <v>46704</v>
      </c>
      <c r="Q320" s="9" t="n">
        <v>46705</v>
      </c>
      <c r="R320" s="9" t="n">
        <v>46706</v>
      </c>
      <c r="S320" s="9" t="n">
        <v>46707</v>
      </c>
      <c r="T320" s="9" t="n">
        <v>46708</v>
      </c>
      <c r="U320" s="9" t="n">
        <v>46709</v>
      </c>
      <c r="V320" s="9" t="n">
        <v>46710</v>
      </c>
      <c r="W320" s="9" t="n">
        <v>46711</v>
      </c>
      <c r="X320" s="9" t="n">
        <v>46712</v>
      </c>
      <c r="Y320" s="9" t="n">
        <v>46713</v>
      </c>
      <c r="Z320" s="9" t="n">
        <v>46714</v>
      </c>
      <c r="AA320" s="9" t="n">
        <v>46715</v>
      </c>
      <c r="AB320" s="9" t="n">
        <v>46716</v>
      </c>
      <c r="AC320" s="9" t="n">
        <v>46717</v>
      </c>
      <c r="AD320" s="9" t="n">
        <v>46718</v>
      </c>
      <c r="AE320" s="9" t="n">
        <v>46719</v>
      </c>
      <c r="AF320" s="9" t="n">
        <v>46720</v>
      </c>
      <c r="AG320" s="9" t="n">
        <v>46721</v>
      </c>
      <c r="AH320" s="9" t="n"/>
      <c r="AI320" s="4" t="n"/>
    </row>
    <row r="321" ht="15.75" customHeight="1" s="757">
      <c r="A321" s="10" t="inlineStr">
        <is>
          <t>GOOGLE MATINS</t>
        </is>
      </c>
      <c r="B321" s="11" t="n"/>
      <c r="C321" s="11" t="n"/>
      <c r="D321" s="900" t="n"/>
      <c r="E321" s="756" t="n"/>
      <c r="F321" s="756" t="n"/>
      <c r="G321" s="756" t="n"/>
      <c r="H321" s="756" t="n"/>
      <c r="I321" s="899" t="n"/>
      <c r="J321" s="899" t="n"/>
      <c r="K321" s="756" t="n"/>
      <c r="L321" s="756" t="n"/>
      <c r="M321" s="756" t="n"/>
      <c r="N321" s="756" t="n"/>
      <c r="O321" s="756" t="n"/>
      <c r="P321" s="899" t="n"/>
      <c r="Q321" s="899" t="n"/>
      <c r="R321" s="756" t="n"/>
      <c r="S321" s="756" t="n"/>
      <c r="T321" s="756" t="n"/>
      <c r="U321" s="756" t="n"/>
      <c r="V321" s="756" t="n"/>
      <c r="W321" s="899" t="n"/>
      <c r="X321" s="899" t="n"/>
      <c r="Y321" s="756" t="n"/>
      <c r="Z321" s="756" t="n"/>
      <c r="AA321" s="756" t="n"/>
      <c r="AB321" s="756" t="n"/>
      <c r="AC321" s="756" t="n"/>
      <c r="AD321" s="899" t="n"/>
      <c r="AE321" s="899" t="n"/>
      <c r="AF321" s="756" t="n"/>
      <c r="AG321" s="756" t="n"/>
      <c r="AH321" s="756" t="n"/>
      <c r="AI321" s="4" t="n"/>
    </row>
    <row r="322" ht="15.75" customHeight="1" s="757">
      <c r="A322" s="10" t="inlineStr">
        <is>
          <t>FIREFOX matí</t>
        </is>
      </c>
      <c r="B322" s="456" t="n"/>
      <c r="C322" s="456" t="n"/>
      <c r="D322" s="905" t="n"/>
      <c r="E322" s="756" t="n"/>
      <c r="F322" s="756" t="n"/>
      <c r="G322" s="756" t="n"/>
      <c r="H322" s="756" t="n"/>
      <c r="I322" s="899" t="n"/>
      <c r="J322" s="899" t="n"/>
      <c r="K322" s="756" t="n"/>
      <c r="L322" s="756" t="n"/>
      <c r="M322" s="756" t="n"/>
      <c r="N322" s="756" t="n"/>
      <c r="O322" s="756" t="n"/>
      <c r="P322" s="899" t="n"/>
      <c r="Q322" s="899" t="n"/>
      <c r="R322" s="756" t="n"/>
      <c r="S322" s="756" t="n"/>
      <c r="T322" s="756" t="n"/>
      <c r="U322" s="756" t="n"/>
      <c r="V322" s="756" t="n"/>
      <c r="W322" s="899" t="n"/>
      <c r="X322" s="899" t="n"/>
      <c r="Y322" s="756" t="n"/>
      <c r="Z322" s="756" t="n"/>
      <c r="AA322" s="756" t="n"/>
      <c r="AB322" s="756" t="n"/>
      <c r="AC322" s="756" t="n"/>
      <c r="AD322" s="899" t="n"/>
      <c r="AE322" s="899" t="n"/>
      <c r="AF322" s="756" t="n"/>
      <c r="AG322" s="756" t="n"/>
      <c r="AH322" s="756" t="n"/>
      <c r="AI322" s="4" t="n"/>
    </row>
    <row r="323" ht="19.5" customHeight="1" s="757">
      <c r="A323" s="14" t="inlineStr">
        <is>
          <t>COPILOT matí</t>
        </is>
      </c>
      <c r="B323" s="15" t="n"/>
      <c r="C323" s="15" t="n"/>
      <c r="D323" s="906" t="n"/>
      <c r="E323" s="778" t="n"/>
      <c r="F323" s="778" t="n"/>
      <c r="G323" s="778" t="n"/>
      <c r="H323" s="778" t="n"/>
      <c r="I323" s="901" t="n"/>
      <c r="J323" s="901" t="n"/>
      <c r="K323" s="778" t="n"/>
      <c r="L323" s="778" t="n"/>
      <c r="M323" s="778" t="n"/>
      <c r="N323" s="778" t="n"/>
      <c r="O323" s="778" t="n"/>
      <c r="P323" s="901" t="n"/>
      <c r="Q323" s="901" t="n"/>
      <c r="R323" s="778" t="n"/>
      <c r="S323" s="778" t="n"/>
      <c r="T323" s="778" t="n"/>
      <c r="U323" s="778" t="n"/>
      <c r="V323" s="778" t="n"/>
      <c r="W323" s="901" t="n"/>
      <c r="X323" s="901" t="n"/>
      <c r="Y323" s="778" t="n"/>
      <c r="Z323" s="778" t="n"/>
      <c r="AA323" s="778" t="n"/>
      <c r="AB323" s="778" t="n"/>
      <c r="AC323" s="778" t="n"/>
      <c r="AD323" s="901" t="n"/>
      <c r="AE323" s="901" t="n"/>
      <c r="AF323" s="778" t="n"/>
      <c r="AG323" s="778" t="n"/>
      <c r="AH323" s="778" t="n"/>
      <c r="AI323" s="4" t="n"/>
    </row>
    <row r="324" ht="16.5" customHeight="1" s="757">
      <c r="A324" s="17" t="inlineStr">
        <is>
          <t>GOOGLE tarda</t>
        </is>
      </c>
      <c r="B324" s="18" t="n"/>
      <c r="C324" s="18" t="n"/>
      <c r="D324" s="904" t="n"/>
      <c r="E324" s="756" t="n"/>
      <c r="F324" s="756" t="n"/>
      <c r="G324" s="756" t="n"/>
      <c r="H324" s="756" t="n"/>
      <c r="I324" s="899" t="n"/>
      <c r="J324" s="899" t="n"/>
      <c r="K324" s="756" t="n"/>
      <c r="L324" s="756" t="n"/>
      <c r="M324" s="756" t="n"/>
      <c r="N324" s="756" t="n"/>
      <c r="O324" s="756" t="n"/>
      <c r="P324" s="899" t="n"/>
      <c r="Q324" s="899" t="n"/>
      <c r="R324" s="756" t="n"/>
      <c r="S324" s="756" t="n"/>
      <c r="T324" s="756" t="n"/>
      <c r="U324" s="756" t="n"/>
      <c r="V324" s="756" t="n"/>
      <c r="W324" s="899" t="n"/>
      <c r="X324" s="899" t="n"/>
      <c r="Y324" s="756" t="n"/>
      <c r="Z324" s="756" t="n"/>
      <c r="AA324" s="756" t="n"/>
      <c r="AB324" s="756" t="n"/>
      <c r="AC324" s="756" t="n"/>
      <c r="AD324" s="899" t="n"/>
      <c r="AE324" s="899" t="n"/>
      <c r="AF324" s="756" t="n"/>
      <c r="AG324" s="756" t="n"/>
      <c r="AH324" s="756" t="n"/>
      <c r="AI324" s="4" t="n"/>
    </row>
    <row r="325" ht="15.75" customHeight="1" s="757">
      <c r="A325" s="10" t="inlineStr">
        <is>
          <t>FIREFOX tarda</t>
        </is>
      </c>
      <c r="B325" s="11" t="n"/>
      <c r="C325" s="11" t="n"/>
      <c r="D325" s="900" t="n"/>
      <c r="E325" s="756" t="n"/>
      <c r="F325" s="756" t="n"/>
      <c r="G325" s="756" t="n"/>
      <c r="H325" s="756" t="n"/>
      <c r="I325" s="899" t="n"/>
      <c r="J325" s="899" t="n"/>
      <c r="K325" s="756" t="n"/>
      <c r="L325" s="756" t="n"/>
      <c r="M325" s="756" t="n"/>
      <c r="N325" s="756" t="n"/>
      <c r="O325" s="756" t="n"/>
      <c r="P325" s="899" t="n"/>
      <c r="Q325" s="899" t="n"/>
      <c r="R325" s="756" t="n"/>
      <c r="S325" s="756" t="n"/>
      <c r="T325" s="756" t="n"/>
      <c r="U325" s="756" t="n"/>
      <c r="V325" s="756" t="n"/>
      <c r="W325" s="899" t="n"/>
      <c r="X325" s="899" t="n"/>
      <c r="Y325" s="756" t="n"/>
      <c r="Z325" s="756" t="n"/>
      <c r="AA325" s="756" t="n"/>
      <c r="AB325" s="756" t="n"/>
      <c r="AC325" s="756" t="n"/>
      <c r="AD325" s="899" t="n"/>
      <c r="AE325" s="899" t="n"/>
      <c r="AF325" s="756" t="n"/>
      <c r="AG325" s="756" t="n"/>
      <c r="AH325" s="756" t="n"/>
    </row>
    <row r="326" ht="16.5" customHeight="1" s="757">
      <c r="A326" s="14" t="inlineStr">
        <is>
          <t>COPILOT tarda</t>
        </is>
      </c>
      <c r="B326" s="15" t="n"/>
      <c r="C326" s="15" t="n"/>
      <c r="D326" s="906" t="n"/>
      <c r="E326" s="778" t="n"/>
      <c r="F326" s="778" t="n"/>
      <c r="G326" s="778" t="n"/>
      <c r="H326" s="778" t="n"/>
      <c r="I326" s="901" t="n"/>
      <c r="J326" s="901" t="n"/>
      <c r="K326" s="778" t="n"/>
      <c r="L326" s="778" t="n"/>
      <c r="M326" s="778" t="n"/>
      <c r="N326" s="778" t="n"/>
      <c r="O326" s="778" t="n"/>
      <c r="P326" s="901" t="n"/>
      <c r="Q326" s="901" t="n"/>
      <c r="R326" s="778" t="n"/>
      <c r="S326" s="778" t="n"/>
      <c r="T326" s="778" t="n"/>
      <c r="U326" s="778" t="n"/>
      <c r="V326" s="778" t="n"/>
      <c r="W326" s="901" t="n"/>
      <c r="X326" s="901" t="n"/>
      <c r="Y326" s="778" t="n"/>
      <c r="Z326" s="778" t="n"/>
      <c r="AA326" s="778" t="n"/>
      <c r="AB326" s="778" t="n"/>
      <c r="AC326" s="778" t="n"/>
      <c r="AD326" s="901" t="n"/>
      <c r="AE326" s="901" t="n"/>
      <c r="AF326" s="778" t="n"/>
      <c r="AG326" s="778" t="n"/>
      <c r="AH326" s="778" t="n"/>
    </row>
    <row r="327" ht="16.5" customHeight="1" s="757">
      <c r="A327" s="10" t="inlineStr">
        <is>
          <t>TARRAGONA matí</t>
        </is>
      </c>
      <c r="B327" s="11" t="n"/>
      <c r="C327" s="11" t="n"/>
      <c r="D327" s="904" t="n"/>
      <c r="E327" s="755" t="n"/>
      <c r="F327" s="756" t="n"/>
      <c r="G327" s="755" t="n"/>
      <c r="H327" s="756" t="n"/>
      <c r="I327" s="903" t="n"/>
      <c r="J327" s="899" t="n"/>
      <c r="K327" s="755" t="n"/>
      <c r="L327" s="756" t="n"/>
      <c r="M327" s="756" t="n"/>
      <c r="N327" s="755" t="n"/>
      <c r="O327" s="755" t="n"/>
      <c r="P327" s="899" t="n"/>
      <c r="Q327" s="899" t="n"/>
      <c r="R327" s="755" t="n"/>
      <c r="S327" s="756" t="n"/>
      <c r="T327" s="756" t="n"/>
      <c r="U327" s="755" t="n"/>
      <c r="V327" s="755" t="n"/>
      <c r="W327" s="899" t="n"/>
      <c r="X327" s="899" t="n"/>
      <c r="Y327" s="755" t="n"/>
      <c r="Z327" s="756" t="n"/>
      <c r="AA327" s="756" t="n"/>
      <c r="AB327" s="755" t="n"/>
      <c r="AC327" s="755" t="n"/>
      <c r="AD327" s="899" t="n"/>
      <c r="AE327" s="899" t="n"/>
      <c r="AF327" s="755" t="n"/>
      <c r="AG327" s="756" t="n"/>
      <c r="AH327" s="756" t="n"/>
    </row>
    <row r="328" ht="15.75" customHeight="1" s="757">
      <c r="A328" s="12" t="inlineStr">
        <is>
          <t>TARRAGONA tarda</t>
        </is>
      </c>
      <c r="B328" s="11" t="n"/>
      <c r="C328" s="11" t="n"/>
      <c r="D328" s="900" t="n"/>
      <c r="E328" s="756" t="n"/>
      <c r="F328" s="756" t="n"/>
      <c r="G328" s="756" t="n"/>
      <c r="H328" s="756" t="n"/>
      <c r="I328" s="899" t="n"/>
      <c r="J328" s="899" t="n"/>
      <c r="K328" s="756" t="n"/>
      <c r="L328" s="756" t="n"/>
      <c r="M328" s="756" t="n"/>
      <c r="N328" s="756" t="n"/>
      <c r="O328" s="756" t="n"/>
      <c r="P328" s="899" t="n"/>
      <c r="Q328" s="899" t="n"/>
      <c r="R328" s="756" t="n"/>
      <c r="S328" s="756" t="n"/>
      <c r="T328" s="756" t="n"/>
      <c r="U328" s="756" t="n"/>
      <c r="V328" s="756" t="n"/>
      <c r="W328" s="899" t="n"/>
      <c r="X328" s="899" t="n"/>
      <c r="Y328" s="756" t="n"/>
      <c r="Z328" s="756" t="n"/>
      <c r="AA328" s="756" t="n"/>
      <c r="AB328" s="756" t="n"/>
      <c r="AC328" s="756" t="n"/>
      <c r="AD328" s="899" t="n"/>
      <c r="AE328" s="899" t="n"/>
      <c r="AF328" s="756" t="n"/>
      <c r="AG328" s="756" t="n"/>
      <c r="AH328" s="756" t="n"/>
    </row>
    <row r="329" ht="15.75" customHeight="1" s="757">
      <c r="A329" s="12" t="inlineStr">
        <is>
          <t>ONLINE</t>
        </is>
      </c>
      <c r="B329" s="11" t="n"/>
      <c r="C329" s="11" t="n"/>
      <c r="D329" s="900" t="n"/>
      <c r="E329" s="756" t="n"/>
      <c r="F329" s="756" t="n"/>
      <c r="G329" s="756" t="n"/>
      <c r="H329" s="756" t="n"/>
      <c r="I329" s="899" t="n"/>
      <c r="J329" s="899" t="n"/>
      <c r="K329" s="756" t="n"/>
      <c r="L329" s="756" t="n"/>
      <c r="M329" s="756" t="n"/>
      <c r="N329" s="756" t="n"/>
      <c r="O329" s="756" t="n"/>
      <c r="P329" s="899" t="n"/>
      <c r="Q329" s="899" t="n"/>
      <c r="R329" s="756" t="n"/>
      <c r="S329" s="756" t="n"/>
      <c r="T329" s="756" t="n"/>
      <c r="U329" s="756" t="n"/>
      <c r="V329" s="756" t="n"/>
      <c r="W329" s="899" t="n"/>
      <c r="X329" s="899" t="n"/>
      <c r="Y329" s="756" t="n"/>
      <c r="Z329" s="756" t="n"/>
      <c r="AA329" s="756" t="n"/>
      <c r="AB329" s="756" t="n"/>
      <c r="AC329" s="756" t="n"/>
      <c r="AD329" s="899" t="n"/>
      <c r="AE329" s="899" t="n"/>
      <c r="AF329" s="756" t="n"/>
      <c r="AG329" s="756" t="n"/>
      <c r="AH329" s="756" t="n"/>
    </row>
    <row r="330" s="757"/>
    <row r="331" s="757"/>
    <row r="332" ht="21.75" customHeight="1" s="757">
      <c r="A332" s="805" t="inlineStr">
        <is>
          <t>DESEMBRE 2027</t>
        </is>
      </c>
      <c r="B332" s="156" t="n"/>
      <c r="C332" s="156" t="n"/>
      <c r="D332" s="156" t="n"/>
      <c r="E332" s="156" t="n"/>
      <c r="F332" s="156" t="n"/>
      <c r="G332" s="156" t="n"/>
      <c r="H332" s="156" t="n"/>
      <c r="I332" s="156" t="n"/>
      <c r="J332" s="156" t="n"/>
      <c r="K332" s="156" t="n"/>
      <c r="L332" s="156" t="n"/>
      <c r="M332" s="156" t="n"/>
      <c r="N332" s="156" t="n"/>
      <c r="O332" s="156" t="n"/>
      <c r="P332" s="156" t="n"/>
      <c r="Q332" s="156" t="n"/>
      <c r="R332" s="156" t="n"/>
      <c r="S332" s="156" t="n"/>
      <c r="T332" s="156" t="n"/>
      <c r="U332" s="156" t="n"/>
      <c r="V332" s="156" t="n"/>
      <c r="W332" s="156" t="n"/>
      <c r="X332" s="156" t="n"/>
      <c r="Y332" s="156" t="n"/>
      <c r="Z332" s="156" t="n"/>
      <c r="AA332" s="156" t="n"/>
      <c r="AB332" s="156" t="n"/>
      <c r="AC332" s="156" t="n"/>
      <c r="AD332" s="156" t="n"/>
      <c r="AE332" s="156" t="n"/>
      <c r="AF332" s="156" t="n"/>
      <c r="AG332" s="156" t="n"/>
      <c r="AH332" s="142" t="n"/>
      <c r="AI332" s="500" t="n">
        <v>14</v>
      </c>
      <c r="AK332" s="898" t="inlineStr">
        <is>
          <t>Festius: 06/12 Dia de la Constitució (Nacional) · 07/12 Festiu Multimèdia · 08/12 Immaculada Concepció (Nacional) · 25/12 Nadal (Nacional) · Vacances: 24/12–31/12</t>
        </is>
      </c>
    </row>
    <row r="333" ht="51" customHeight="1" s="757">
      <c r="A333" s="7" t="inlineStr">
        <is>
          <t>AULA</t>
        </is>
      </c>
      <c r="B333" s="8" t="inlineStr">
        <is>
          <t>INICI</t>
        </is>
      </c>
      <c r="C333" s="8" t="inlineStr">
        <is>
          <t>FINAL</t>
        </is>
      </c>
      <c r="D333" s="9" t="n">
        <v>46722</v>
      </c>
      <c r="E333" s="9" t="n">
        <v>46723</v>
      </c>
      <c r="F333" s="9" t="n">
        <v>46724</v>
      </c>
      <c r="G333" s="9" t="n">
        <v>46725</v>
      </c>
      <c r="H333" s="9" t="n">
        <v>46726</v>
      </c>
      <c r="I333" s="9" t="n">
        <v>46727</v>
      </c>
      <c r="J333" s="9" t="n">
        <v>46728</v>
      </c>
      <c r="K333" s="9" t="n">
        <v>46729</v>
      </c>
      <c r="L333" s="9" t="n">
        <v>46730</v>
      </c>
      <c r="M333" s="9" t="n">
        <v>46731</v>
      </c>
      <c r="N333" s="9" t="n">
        <v>46732</v>
      </c>
      <c r="O333" s="9" t="n">
        <v>46733</v>
      </c>
      <c r="P333" s="9" t="n">
        <v>46734</v>
      </c>
      <c r="Q333" s="9" t="n">
        <v>46735</v>
      </c>
      <c r="R333" s="9" t="n">
        <v>46736</v>
      </c>
      <c r="S333" s="9" t="n">
        <v>46737</v>
      </c>
      <c r="T333" s="9" t="n">
        <v>46738</v>
      </c>
      <c r="U333" s="9" t="n">
        <v>46739</v>
      </c>
      <c r="V333" s="9" t="n">
        <v>46740</v>
      </c>
      <c r="W333" s="9" t="n">
        <v>46741</v>
      </c>
      <c r="X333" s="9" t="n">
        <v>46742</v>
      </c>
      <c r="Y333" s="9" t="n">
        <v>46743</v>
      </c>
      <c r="Z333" s="9" t="n">
        <v>46744</v>
      </c>
      <c r="AA333" s="9" t="n">
        <v>46745</v>
      </c>
      <c r="AB333" s="9" t="n">
        <v>46746</v>
      </c>
      <c r="AC333" s="9" t="n">
        <v>46747</v>
      </c>
      <c r="AD333" s="9" t="n">
        <v>46748</v>
      </c>
      <c r="AE333" s="9" t="n">
        <v>46749</v>
      </c>
      <c r="AF333" s="9" t="n">
        <v>46750</v>
      </c>
      <c r="AG333" s="9" t="n">
        <v>46751</v>
      </c>
      <c r="AH333" s="9" t="n">
        <v>46752</v>
      </c>
      <c r="AI333" s="4" t="n"/>
    </row>
    <row r="334" ht="15.75" customHeight="1" s="757">
      <c r="A334" s="10" t="inlineStr">
        <is>
          <t>GOOGLE MATINS</t>
        </is>
      </c>
      <c r="B334" s="11" t="n"/>
      <c r="C334" s="11" t="n"/>
      <c r="D334" s="756" t="n"/>
      <c r="E334" s="756" t="n"/>
      <c r="F334" s="756" t="n"/>
      <c r="G334" s="899" t="n"/>
      <c r="H334" s="899" t="n"/>
      <c r="I334" s="900" t="n"/>
      <c r="J334" s="900" t="n"/>
      <c r="K334" s="900" t="n"/>
      <c r="L334" s="756" t="n"/>
      <c r="M334" s="756" t="n"/>
      <c r="N334" s="899" t="n"/>
      <c r="O334" s="899" t="n"/>
      <c r="P334" s="756" t="n"/>
      <c r="Q334" s="756" t="n"/>
      <c r="R334" s="756" t="n"/>
      <c r="S334" s="756" t="n"/>
      <c r="T334" s="756" t="n"/>
      <c r="U334" s="899" t="n"/>
      <c r="V334" s="899" t="n"/>
      <c r="W334" s="756" t="n"/>
      <c r="X334" s="756" t="n"/>
      <c r="Y334" s="756" t="n"/>
      <c r="Z334" s="756" t="n"/>
      <c r="AA334" s="907" t="n"/>
      <c r="AB334" s="900" t="n"/>
      <c r="AC334" s="899" t="n"/>
      <c r="AD334" s="907" t="n"/>
      <c r="AE334" s="907" t="n"/>
      <c r="AF334" s="907" t="n"/>
      <c r="AG334" s="907" t="n"/>
      <c r="AH334" s="907" t="n"/>
      <c r="AI334" s="4" t="n"/>
    </row>
    <row r="335" ht="15.75" customHeight="1" s="757">
      <c r="A335" s="10" t="inlineStr">
        <is>
          <t>FIREFOX matí</t>
        </is>
      </c>
      <c r="B335" s="456" t="n"/>
      <c r="C335" s="456" t="n"/>
      <c r="D335" s="782" t="n"/>
      <c r="E335" s="756" t="n"/>
      <c r="F335" s="756" t="n"/>
      <c r="G335" s="899" t="n"/>
      <c r="H335" s="899" t="n"/>
      <c r="I335" s="900" t="n"/>
      <c r="J335" s="900" t="n"/>
      <c r="K335" s="900" t="n"/>
      <c r="L335" s="756" t="n"/>
      <c r="M335" s="756" t="n"/>
      <c r="N335" s="899" t="n"/>
      <c r="O335" s="899" t="n"/>
      <c r="P335" s="756" t="n"/>
      <c r="Q335" s="756" t="n"/>
      <c r="R335" s="756" t="n"/>
      <c r="S335" s="756" t="n"/>
      <c r="T335" s="756" t="n"/>
      <c r="U335" s="899" t="n"/>
      <c r="V335" s="899" t="n"/>
      <c r="W335" s="756" t="n"/>
      <c r="X335" s="756" t="n"/>
      <c r="Y335" s="756" t="n"/>
      <c r="Z335" s="756" t="n"/>
      <c r="AA335" s="907" t="n"/>
      <c r="AB335" s="900" t="n"/>
      <c r="AC335" s="899" t="n"/>
      <c r="AD335" s="907" t="n"/>
      <c r="AE335" s="907" t="n"/>
      <c r="AF335" s="907" t="n"/>
      <c r="AG335" s="907" t="n"/>
      <c r="AH335" s="907" t="n"/>
      <c r="AI335" s="4" t="n"/>
    </row>
    <row r="336" ht="19.5" customHeight="1" s="757">
      <c r="A336" s="14" t="inlineStr">
        <is>
          <t>COPILOT matí</t>
        </is>
      </c>
      <c r="B336" s="15" t="n"/>
      <c r="C336" s="15" t="n"/>
      <c r="D336" s="783" t="n"/>
      <c r="E336" s="778" t="n"/>
      <c r="F336" s="778" t="n"/>
      <c r="G336" s="901" t="n"/>
      <c r="H336" s="901" t="n"/>
      <c r="I336" s="902" t="n"/>
      <c r="J336" s="902" t="n"/>
      <c r="K336" s="902" t="n"/>
      <c r="L336" s="778" t="n"/>
      <c r="M336" s="778" t="n"/>
      <c r="N336" s="901" t="n"/>
      <c r="O336" s="901" t="n"/>
      <c r="P336" s="778" t="n"/>
      <c r="Q336" s="778" t="n"/>
      <c r="R336" s="778" t="n"/>
      <c r="S336" s="778" t="n"/>
      <c r="T336" s="778" t="n"/>
      <c r="U336" s="901" t="n"/>
      <c r="V336" s="901" t="n"/>
      <c r="W336" s="778" t="n"/>
      <c r="X336" s="778" t="n"/>
      <c r="Y336" s="778" t="n"/>
      <c r="Z336" s="778" t="n"/>
      <c r="AA336" s="908" t="n"/>
      <c r="AB336" s="902" t="n"/>
      <c r="AC336" s="901" t="n"/>
      <c r="AD336" s="908" t="n"/>
      <c r="AE336" s="908" t="n"/>
      <c r="AF336" s="908" t="n"/>
      <c r="AG336" s="908" t="n"/>
      <c r="AH336" s="908" t="n"/>
      <c r="AI336" s="4" t="n"/>
    </row>
    <row r="337" ht="16.5" customHeight="1" s="757">
      <c r="A337" s="17" t="inlineStr">
        <is>
          <t>GOOGLE tarda</t>
        </is>
      </c>
      <c r="B337" s="18" t="n"/>
      <c r="C337" s="18" t="n"/>
      <c r="D337" s="755" t="n"/>
      <c r="E337" s="756" t="n"/>
      <c r="F337" s="756" t="n"/>
      <c r="G337" s="899" t="n"/>
      <c r="H337" s="899" t="n"/>
      <c r="I337" s="900" t="n"/>
      <c r="J337" s="900" t="n"/>
      <c r="K337" s="900" t="n"/>
      <c r="L337" s="756" t="n"/>
      <c r="M337" s="756" t="n"/>
      <c r="N337" s="899" t="n"/>
      <c r="O337" s="899" t="n"/>
      <c r="P337" s="756" t="n"/>
      <c r="Q337" s="756" t="n"/>
      <c r="R337" s="756" t="n"/>
      <c r="S337" s="756" t="n"/>
      <c r="T337" s="756" t="n"/>
      <c r="U337" s="899" t="n"/>
      <c r="V337" s="899" t="n"/>
      <c r="W337" s="756" t="n"/>
      <c r="X337" s="756" t="n"/>
      <c r="Y337" s="756" t="n"/>
      <c r="Z337" s="756" t="n"/>
      <c r="AA337" s="907" t="n"/>
      <c r="AB337" s="900" t="n"/>
      <c r="AC337" s="899" t="n"/>
      <c r="AD337" s="907" t="n"/>
      <c r="AE337" s="907" t="n"/>
      <c r="AF337" s="907" t="n"/>
      <c r="AG337" s="907" t="n"/>
      <c r="AH337" s="907" t="n"/>
      <c r="AI337" s="4" t="n"/>
    </row>
    <row r="338" ht="15.75" customHeight="1" s="757">
      <c r="A338" s="10" t="inlineStr">
        <is>
          <t>FIREFOX tarda</t>
        </is>
      </c>
      <c r="B338" s="11" t="n"/>
      <c r="C338" s="11" t="n"/>
      <c r="D338" s="756" t="n"/>
      <c r="E338" s="756" t="n"/>
      <c r="F338" s="756" t="n"/>
      <c r="G338" s="899" t="n"/>
      <c r="H338" s="899" t="n"/>
      <c r="I338" s="900" t="n"/>
      <c r="J338" s="900" t="n"/>
      <c r="K338" s="900" t="n"/>
      <c r="L338" s="756" t="n"/>
      <c r="M338" s="756" t="n"/>
      <c r="N338" s="899" t="n"/>
      <c r="O338" s="899" t="n"/>
      <c r="P338" s="756" t="n"/>
      <c r="Q338" s="756" t="n"/>
      <c r="R338" s="756" t="n"/>
      <c r="S338" s="756" t="n"/>
      <c r="T338" s="756" t="n"/>
      <c r="U338" s="899" t="n"/>
      <c r="V338" s="899" t="n"/>
      <c r="W338" s="756" t="n"/>
      <c r="X338" s="756" t="n"/>
      <c r="Y338" s="756" t="n"/>
      <c r="Z338" s="756" t="n"/>
      <c r="AA338" s="907" t="n"/>
      <c r="AB338" s="900" t="n"/>
      <c r="AC338" s="899" t="n"/>
      <c r="AD338" s="907" t="n"/>
      <c r="AE338" s="907" t="n"/>
      <c r="AF338" s="907" t="n"/>
      <c r="AG338" s="907" t="n"/>
      <c r="AH338" s="907" t="n"/>
    </row>
    <row r="339" ht="16.5" customHeight="1" s="757">
      <c r="A339" s="14" t="inlineStr">
        <is>
          <t>COPILOT tarda</t>
        </is>
      </c>
      <c r="B339" s="15" t="n"/>
      <c r="C339" s="15" t="n"/>
      <c r="D339" s="783" t="n"/>
      <c r="E339" s="778" t="n"/>
      <c r="F339" s="778" t="n"/>
      <c r="G339" s="901" t="n"/>
      <c r="H339" s="901" t="n"/>
      <c r="I339" s="902" t="n"/>
      <c r="J339" s="902" t="n"/>
      <c r="K339" s="902" t="n"/>
      <c r="L339" s="778" t="n"/>
      <c r="M339" s="778" t="n"/>
      <c r="N339" s="901" t="n"/>
      <c r="O339" s="901" t="n"/>
      <c r="P339" s="778" t="n"/>
      <c r="Q339" s="778" t="n"/>
      <c r="R339" s="778" t="n"/>
      <c r="S339" s="778" t="n"/>
      <c r="T339" s="778" t="n"/>
      <c r="U339" s="901" t="n"/>
      <c r="V339" s="901" t="n"/>
      <c r="W339" s="778" t="n"/>
      <c r="X339" s="778" t="n"/>
      <c r="Y339" s="778" t="n"/>
      <c r="Z339" s="778" t="n"/>
      <c r="AA339" s="908" t="n"/>
      <c r="AB339" s="902" t="n"/>
      <c r="AC339" s="901" t="n"/>
      <c r="AD339" s="908" t="n"/>
      <c r="AE339" s="908" t="n"/>
      <c r="AF339" s="908" t="n"/>
      <c r="AG339" s="908" t="n"/>
      <c r="AH339" s="908" t="n"/>
    </row>
    <row r="340" ht="16.5" customHeight="1" s="757">
      <c r="A340" s="10" t="inlineStr">
        <is>
          <t>TARRAGONA matí</t>
        </is>
      </c>
      <c r="B340" s="11" t="n"/>
      <c r="C340" s="11" t="n"/>
      <c r="D340" s="755" t="n"/>
      <c r="E340" s="755" t="n"/>
      <c r="F340" s="756" t="n"/>
      <c r="G340" s="903" t="n"/>
      <c r="H340" s="899" t="n"/>
      <c r="I340" s="904" t="n"/>
      <c r="J340" s="900" t="n"/>
      <c r="K340" s="904" t="n"/>
      <c r="L340" s="756" t="n"/>
      <c r="M340" s="756" t="n"/>
      <c r="N340" s="903" t="n"/>
      <c r="O340" s="903" t="n"/>
      <c r="P340" s="756" t="n"/>
      <c r="Q340" s="756" t="n"/>
      <c r="R340" s="755" t="n"/>
      <c r="S340" s="756" t="n"/>
      <c r="T340" s="756" t="n"/>
      <c r="U340" s="903" t="n"/>
      <c r="V340" s="903" t="n"/>
      <c r="W340" s="756" t="n"/>
      <c r="X340" s="756" t="n"/>
      <c r="Y340" s="755" t="n"/>
      <c r="Z340" s="756" t="n"/>
      <c r="AA340" s="907" t="n"/>
      <c r="AB340" s="904" t="n"/>
      <c r="AC340" s="903" t="n"/>
      <c r="AD340" s="907" t="n"/>
      <c r="AE340" s="907" t="n"/>
      <c r="AF340" s="909" t="n"/>
      <c r="AG340" s="907" t="n"/>
      <c r="AH340" s="907" t="n"/>
    </row>
    <row r="341" ht="15.75" customHeight="1" s="757">
      <c r="A341" s="12" t="inlineStr">
        <is>
          <t>TARRAGONA tarda</t>
        </is>
      </c>
      <c r="B341" s="11" t="n"/>
      <c r="C341" s="11" t="n"/>
      <c r="D341" s="756" t="n"/>
      <c r="E341" s="756" t="n"/>
      <c r="F341" s="756" t="n"/>
      <c r="G341" s="899" t="n"/>
      <c r="H341" s="899" t="n"/>
      <c r="I341" s="900" t="n"/>
      <c r="J341" s="900" t="n"/>
      <c r="K341" s="900" t="n"/>
      <c r="L341" s="756" t="n"/>
      <c r="M341" s="756" t="n"/>
      <c r="N341" s="899" t="n"/>
      <c r="O341" s="899" t="n"/>
      <c r="P341" s="756" t="n"/>
      <c r="Q341" s="756" t="n"/>
      <c r="R341" s="756" t="n"/>
      <c r="S341" s="756" t="n"/>
      <c r="T341" s="756" t="n"/>
      <c r="U341" s="899" t="n"/>
      <c r="V341" s="899" t="n"/>
      <c r="W341" s="756" t="n"/>
      <c r="X341" s="756" t="n"/>
      <c r="Y341" s="756" t="n"/>
      <c r="Z341" s="756" t="n"/>
      <c r="AA341" s="907" t="n"/>
      <c r="AB341" s="900" t="n"/>
      <c r="AC341" s="899" t="n"/>
      <c r="AD341" s="907" t="n"/>
      <c r="AE341" s="907" t="n"/>
      <c r="AF341" s="907" t="n"/>
      <c r="AG341" s="907" t="n"/>
      <c r="AH341" s="907" t="n"/>
    </row>
    <row r="342" ht="15.75" customHeight="1" s="757">
      <c r="A342" s="12" t="inlineStr">
        <is>
          <t>ONLINE</t>
        </is>
      </c>
      <c r="B342" s="11" t="n"/>
      <c r="C342" s="11" t="n"/>
      <c r="D342" s="756" t="n"/>
      <c r="E342" s="756" t="n"/>
      <c r="F342" s="756" t="n"/>
      <c r="G342" s="899" t="n"/>
      <c r="H342" s="899" t="n"/>
      <c r="I342" s="900" t="n"/>
      <c r="J342" s="900" t="n"/>
      <c r="K342" s="900" t="n"/>
      <c r="L342" s="756" t="n"/>
      <c r="M342" s="756" t="n"/>
      <c r="N342" s="899" t="n"/>
      <c r="O342" s="899" t="n"/>
      <c r="P342" s="756" t="n"/>
      <c r="Q342" s="756" t="n"/>
      <c r="R342" s="756" t="n"/>
      <c r="S342" s="756" t="n"/>
      <c r="T342" s="756" t="n"/>
      <c r="U342" s="899" t="n"/>
      <c r="V342" s="899" t="n"/>
      <c r="W342" s="756" t="n"/>
      <c r="X342" s="756" t="n"/>
      <c r="Y342" s="756" t="n"/>
      <c r="Z342" s="756" t="n"/>
      <c r="AA342" s="907" t="n"/>
      <c r="AB342" s="900" t="n"/>
      <c r="AC342" s="899" t="n"/>
      <c r="AD342" s="907" t="n"/>
      <c r="AE342" s="907" t="n"/>
      <c r="AF342" s="907" t="n"/>
      <c r="AG342" s="907" t="n"/>
      <c r="AH342" s="907" t="n"/>
    </row>
    <row r="343" s="757"/>
    <row r="344" s="757"/>
  </sheetData>
  <mergeCells count="73">
    <mergeCell ref="A101:AH101"/>
    <mergeCell ref="A139:AH139"/>
    <mergeCell ref="AK23:AO23"/>
    <mergeCell ref="AK61:AO61"/>
    <mergeCell ref="A306:AH306"/>
    <mergeCell ref="AO69:AP69"/>
    <mergeCell ref="A26:AH26"/>
    <mergeCell ref="A113:AH113"/>
    <mergeCell ref="A2:AH2"/>
    <mergeCell ref="AK73:AS73"/>
    <mergeCell ref="AR45:AU45"/>
    <mergeCell ref="A251:AH251"/>
    <mergeCell ref="A42:AH42"/>
    <mergeCell ref="AQ9:AT9"/>
    <mergeCell ref="A185:AH185"/>
    <mergeCell ref="A1:B1"/>
    <mergeCell ref="AK6:AN6"/>
    <mergeCell ref="AP147:AS147"/>
    <mergeCell ref="AN5:AO5"/>
    <mergeCell ref="AK2:AN2"/>
    <mergeCell ref="A224:AH224"/>
    <mergeCell ref="AK20:AM20"/>
    <mergeCell ref="A18:AH18"/>
    <mergeCell ref="AK9:AO9"/>
    <mergeCell ref="AK29:AM29"/>
    <mergeCell ref="A125:AH125"/>
    <mergeCell ref="A265:AH265"/>
    <mergeCell ref="A152:AH152"/>
    <mergeCell ref="A10:AH10"/>
    <mergeCell ref="A332:AH332"/>
    <mergeCell ref="AN29:AR29"/>
    <mergeCell ref="AK44:AM44"/>
    <mergeCell ref="A211:AH211"/>
    <mergeCell ref="A173:AH173"/>
    <mergeCell ref="AK147:AN147"/>
    <mergeCell ref="A293:AH293"/>
    <mergeCell ref="AK5:AL5"/>
    <mergeCell ref="A58:AH58"/>
    <mergeCell ref="A34:AH34"/>
    <mergeCell ref="A67:AH67"/>
    <mergeCell ref="AK21:AL21"/>
    <mergeCell ref="AK54:AO54"/>
    <mergeCell ref="AK81:AN81"/>
    <mergeCell ref="AP31:AQ31"/>
    <mergeCell ref="AO45:AP45"/>
    <mergeCell ref="A279:AH279"/>
    <mergeCell ref="A319:AH319"/>
    <mergeCell ref="AK27:AM27"/>
    <mergeCell ref="AQ2:AU2"/>
    <mergeCell ref="AK36:AM36"/>
    <mergeCell ref="AQ5:AR5"/>
    <mergeCell ref="AK41:AO41"/>
    <mergeCell ref="A238:AH238"/>
    <mergeCell ref="AK38:AN38"/>
    <mergeCell ref="AK7:AP7"/>
    <mergeCell ref="AK31:AO31"/>
    <mergeCell ref="A78:AH78"/>
    <mergeCell ref="AQ69:AR69"/>
    <mergeCell ref="AK124:AL124"/>
    <mergeCell ref="AK52:AO52"/>
    <mergeCell ref="AK28:AM28"/>
    <mergeCell ref="AK122:AP122"/>
    <mergeCell ref="AK4:AM4"/>
    <mergeCell ref="AK13:AM13"/>
    <mergeCell ref="AN154:AP154"/>
    <mergeCell ref="AO13:AT13"/>
    <mergeCell ref="AS69:AU69"/>
    <mergeCell ref="AN21:AQ21"/>
    <mergeCell ref="A89:AH89"/>
    <mergeCell ref="A198:AH198"/>
    <mergeCell ref="AK12:AM12"/>
    <mergeCell ref="A50:AH50"/>
    <mergeCell ref="A163:AH163"/>
  </mergeCells>
  <printOptions horizontalCentered="1" verticalCentered="1"/>
  <pageMargins left="0.25" right="0.25" top="0.75" bottom="0.75" header="0.3" footer="0.3"/>
  <pageSetup orientation="landscape" paperSize="8" scale="26"/>
  <drawing r:id="rIdShapes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757" min="1" max="1"/>
    <col width="48" customWidth="1" style="757" min="2" max="2"/>
    <col width="8" customWidth="1" style="757" min="3" max="3"/>
    <col width="14" customWidth="1" style="757" min="4" max="4"/>
    <col width="11" customWidth="1" style="757" min="5" max="5"/>
    <col width="8" customWidth="1" style="757" min="6" max="6"/>
    <col width="26" customWidth="1" style="757" min="7" max="7"/>
    <col width="12" customWidth="1" style="757" min="8" max="8"/>
    <col width="12" customWidth="1" style="757" min="9" max="9"/>
    <col width="7" customWidth="1" style="757" min="10" max="10"/>
    <col width="11" customWidth="1" style="757" min="11" max="11"/>
    <col width="13" customWidth="1" style="757" min="12" max="12"/>
    <col width="26" customWidth="1" style="757" min="13" max="13"/>
  </cols>
  <sheetData>
    <row r="1">
      <c r="A1" s="910" t="inlineStr">
        <is>
          <t>CRONOGRAMA 26-27 PROVISIONAL — PLANIFICACIÓ DE FORMACIONS</t>
        </is>
      </c>
    </row>
    <row r="2">
      <c r="A2" s="911" t="inlineStr">
        <is>
          <t>Font: FORMACIONS_26-27_PROVISIONAL.xlsx (hores i docents) · Calendari: full 'CRONO 25-26' i CALENDARI_LABORAL_2027.xlsx · Criteri: 5-6 h/dia en dies laborables consecutius.</t>
        </is>
      </c>
    </row>
    <row r="4">
      <c r="A4" s="912" t="inlineStr">
        <is>
          <t>CODI</t>
        </is>
      </c>
      <c r="B4" s="912" t="inlineStr">
        <is>
          <t>NOM FORMACIÓ</t>
        </is>
      </c>
      <c r="C4" s="912" t="inlineStr">
        <is>
          <t>EDICIÓ</t>
        </is>
      </c>
      <c r="D4" s="912" t="inlineStr">
        <is>
          <t>DOCENT</t>
        </is>
      </c>
      <c r="E4" s="912" t="inlineStr">
        <is>
          <t>AULA</t>
        </is>
      </c>
      <c r="F4" s="912" t="inlineStr">
        <is>
          <t>TORN</t>
        </is>
      </c>
      <c r="G4" s="912" t="inlineStr">
        <is>
          <t>HORARI</t>
        </is>
      </c>
      <c r="H4" s="912" t="inlineStr">
        <is>
          <t>DATA INICI</t>
        </is>
      </c>
      <c r="I4" s="912" t="inlineStr">
        <is>
          <t>DATA FINAL</t>
        </is>
      </c>
      <c r="J4" s="912" t="inlineStr">
        <is>
          <t>DIES</t>
        </is>
      </c>
      <c r="K4" s="912" t="inlineStr">
        <is>
          <t>HORES PREVISTES</t>
        </is>
      </c>
      <c r="L4" s="912" t="inlineStr">
        <is>
          <t>HORES PROGRAMADES</t>
        </is>
      </c>
      <c r="M4" s="912" t="inlineStr">
        <is>
          <t>DISTRIBUCIÓ</t>
        </is>
      </c>
    </row>
    <row r="5">
      <c r="A5" s="913" t="inlineStr">
        <is>
          <t>FCOS02</t>
        </is>
      </c>
      <c r="B5" s="914" t="inlineStr">
        <is>
          <t>BASIC PREVENCIO DE RISCOS LABORALS [FORMA I CONTRACTE - ATURATS]</t>
        </is>
      </c>
      <c r="C5" s="915" t="inlineStr">
        <is>
          <t>1/1</t>
        </is>
      </c>
      <c r="D5" s="915" t="inlineStr">
        <is>
          <t>PER ASSIGNAR</t>
        </is>
      </c>
      <c r="E5" s="915" t="inlineStr">
        <is>
          <t>GOOGLE</t>
        </is>
      </c>
      <c r="F5" s="915" t="inlineStr">
        <is>
          <t>MATÍ</t>
        </is>
      </c>
      <c r="G5" s="914" t="inlineStr">
        <is>
          <t>9:00-15:00</t>
        </is>
      </c>
      <c r="H5" s="916" t="n">
        <v>46314</v>
      </c>
      <c r="I5" s="916" t="n">
        <v>46318</v>
      </c>
      <c r="J5" s="915" t="n">
        <v>5</v>
      </c>
      <c r="K5" s="915" t="n">
        <v>30</v>
      </c>
      <c r="L5" s="915" t="n">
        <v>30</v>
      </c>
      <c r="M5" s="914" t="inlineStr">
        <is>
          <t>5 dies × 6 h</t>
        </is>
      </c>
    </row>
    <row r="6">
      <c r="A6" s="917" t="inlineStr">
        <is>
          <t>FC01_CTRP0005_202370</t>
        </is>
      </c>
      <c r="B6" s="914" t="inlineStr">
        <is>
          <t>Coaching de fortaleses</t>
        </is>
      </c>
      <c r="C6" s="915" t="inlineStr">
        <is>
          <t>1/1</t>
        </is>
      </c>
      <c r="D6" s="915" t="inlineStr">
        <is>
          <t>RAMON</t>
        </is>
      </c>
      <c r="E6" s="915" t="inlineStr">
        <is>
          <t>FIREFOX</t>
        </is>
      </c>
      <c r="F6" s="915" t="inlineStr">
        <is>
          <t>MATÍ</t>
        </is>
      </c>
      <c r="G6" s="914" t="inlineStr">
        <is>
          <t>9:00-15:00 (9:00-14:00 els dies de 5 h)</t>
        </is>
      </c>
      <c r="H6" s="916" t="n">
        <v>46314</v>
      </c>
      <c r="I6" s="916" t="n">
        <v>46322</v>
      </c>
      <c r="J6" s="915" t="n">
        <v>7</v>
      </c>
      <c r="K6" s="915" t="n">
        <v>40</v>
      </c>
      <c r="L6" s="915" t="n">
        <v>40</v>
      </c>
      <c r="M6" s="914" t="inlineStr">
        <is>
          <t>5 dies × 6 h + 2 dies × 5 h</t>
        </is>
      </c>
    </row>
    <row r="7">
      <c r="A7" s="918" t="inlineStr">
        <is>
          <t>FC01_CTRL0040_202470</t>
        </is>
      </c>
      <c r="B7" s="914" t="inlineStr">
        <is>
          <t>CTRL0040_2024_Català A1 (Català nivell inicial A1)</t>
        </is>
      </c>
      <c r="C7" s="915" t="inlineStr">
        <is>
          <t>1/1</t>
        </is>
      </c>
      <c r="D7" s="915" t="inlineStr">
        <is>
          <t>PER ASSIGNAR</t>
        </is>
      </c>
      <c r="E7" s="915" t="inlineStr">
        <is>
          <t>COPILOT</t>
        </is>
      </c>
      <c r="F7" s="915" t="inlineStr">
        <is>
          <t>MATÍ</t>
        </is>
      </c>
      <c r="G7" s="914" t="inlineStr">
        <is>
          <t>9:00-15:00</t>
        </is>
      </c>
      <c r="H7" s="916" t="n">
        <v>46314</v>
      </c>
      <c r="I7" s="916" t="n">
        <v>46332</v>
      </c>
      <c r="J7" s="915" t="n">
        <v>15</v>
      </c>
      <c r="K7" s="915" t="n">
        <v>90</v>
      </c>
      <c r="L7" s="915" t="n">
        <v>90</v>
      </c>
      <c r="M7" s="914" t="inlineStr">
        <is>
          <t>15 dies × 6 h</t>
        </is>
      </c>
    </row>
    <row r="8">
      <c r="A8" s="919" t="inlineStr">
        <is>
          <t>FCOS02</t>
        </is>
      </c>
      <c r="B8" s="914" t="inlineStr">
        <is>
          <t>BASIC PREVENCIO DE RISCOS LABORALS [CFCC - TREBALLADORS]</t>
        </is>
      </c>
      <c r="C8" s="915" t="inlineStr">
        <is>
          <t>1/1</t>
        </is>
      </c>
      <c r="D8" s="915" t="inlineStr">
        <is>
          <t>PER ASSIGNAR</t>
        </is>
      </c>
      <c r="E8" s="915" t="inlineStr">
        <is>
          <t>FIREFOX</t>
        </is>
      </c>
      <c r="F8" s="915" t="inlineStr">
        <is>
          <t>TARDA</t>
        </is>
      </c>
      <c r="G8" s="914" t="inlineStr">
        <is>
          <t>15:00-21:00</t>
        </is>
      </c>
      <c r="H8" s="916" t="n">
        <v>46314</v>
      </c>
      <c r="I8" s="916" t="n">
        <v>46318</v>
      </c>
      <c r="J8" s="915" t="n">
        <v>5</v>
      </c>
      <c r="K8" s="915" t="n">
        <v>30</v>
      </c>
      <c r="L8" s="915" t="n">
        <v>30</v>
      </c>
      <c r="M8" s="914" t="inlineStr">
        <is>
          <t>5 dies × 6 h</t>
        </is>
      </c>
    </row>
    <row r="9">
      <c r="A9" s="920" t="inlineStr">
        <is>
          <t>FC01_IMPE0006_202449</t>
        </is>
      </c>
      <c r="B9" s="914" t="inlineStr">
        <is>
          <t>Biomagnetisme aplicat a l'estètica</t>
        </is>
      </c>
      <c r="C9" s="915" t="inlineStr">
        <is>
          <t>1/1</t>
        </is>
      </c>
      <c r="D9" s="915" t="inlineStr">
        <is>
          <t>ESTHER</t>
        </is>
      </c>
      <c r="E9" s="915" t="inlineStr">
        <is>
          <t>COPILOT</t>
        </is>
      </c>
      <c r="F9" s="915" t="inlineStr">
        <is>
          <t>TARDA</t>
        </is>
      </c>
      <c r="G9" s="914" t="inlineStr">
        <is>
          <t>15:00-21:00 (15:00-20:00 els dies de 5 h)</t>
        </is>
      </c>
      <c r="H9" s="916" t="n">
        <v>46314</v>
      </c>
      <c r="I9" s="916" t="n">
        <v>46316</v>
      </c>
      <c r="J9" s="915" t="n">
        <v>3</v>
      </c>
      <c r="K9" s="915" t="n">
        <v>16</v>
      </c>
      <c r="L9" s="915" t="n">
        <v>16</v>
      </c>
      <c r="M9" s="914" t="inlineStr">
        <is>
          <t>1 dies × 6 h + 2 dies × 5 h</t>
        </is>
      </c>
    </row>
    <row r="10">
      <c r="A10" s="921" t="inlineStr">
        <is>
          <t>CTRH0011</t>
        </is>
      </c>
      <c r="B10" s="914" t="inlineStr">
        <is>
          <t>DRETS I DEURES LABORALS [FORMA I CONTRACTE - ATURATS]</t>
        </is>
      </c>
      <c r="C10" s="915" t="inlineStr">
        <is>
          <t>1/1</t>
        </is>
      </c>
      <c r="D10" s="915" t="inlineStr">
        <is>
          <t>PER ASSIGNAR</t>
        </is>
      </c>
      <c r="E10" s="915" t="inlineStr">
        <is>
          <t>GOOGLE</t>
        </is>
      </c>
      <c r="F10" s="915" t="inlineStr">
        <is>
          <t>MATÍ</t>
        </is>
      </c>
      <c r="G10" s="914" t="inlineStr">
        <is>
          <t>9:00-14:00</t>
        </is>
      </c>
      <c r="H10" s="916" t="n">
        <v>46321</v>
      </c>
      <c r="I10" s="916" t="n">
        <v>46322</v>
      </c>
      <c r="J10" s="915" t="n">
        <v>2</v>
      </c>
      <c r="K10" s="915" t="n">
        <v>10</v>
      </c>
      <c r="L10" s="915" t="n">
        <v>10</v>
      </c>
      <c r="M10" s="914" t="inlineStr">
        <is>
          <t>2 dies × 5 h</t>
        </is>
      </c>
    </row>
    <row r="11">
      <c r="A11" s="922" t="inlineStr">
        <is>
          <t>ADGG0208</t>
        </is>
      </c>
      <c r="B11" s="914" t="inlineStr">
        <is>
          <t>ACTIVITATS ADMINISTRATIVES EN LA RELACIO AMB EL CLIENT [CFCC - TREBALLADORS]</t>
        </is>
      </c>
      <c r="C11" s="915" t="inlineStr">
        <is>
          <t>1/1</t>
        </is>
      </c>
      <c r="D11" s="915" t="inlineStr">
        <is>
          <t>PER ASSIGNAR</t>
        </is>
      </c>
      <c r="E11" s="915" t="inlineStr">
        <is>
          <t>FIREFOX</t>
        </is>
      </c>
      <c r="F11" s="915" t="inlineStr">
        <is>
          <t>TARDA</t>
        </is>
      </c>
      <c r="G11" s="914" t="inlineStr">
        <is>
          <t>15:00-21:00</t>
        </is>
      </c>
      <c r="H11" s="916" t="n">
        <v>46321</v>
      </c>
      <c r="I11" s="916" t="n">
        <v>46493</v>
      </c>
      <c r="J11" s="915" t="n">
        <v>113</v>
      </c>
      <c r="K11" s="915" t="n">
        <v>678</v>
      </c>
      <c r="L11" s="915" t="n">
        <v>678</v>
      </c>
      <c r="M11" s="914" t="inlineStr">
        <is>
          <t>113 dies × 6 h</t>
        </is>
      </c>
    </row>
    <row r="12">
      <c r="A12" s="923" t="inlineStr">
        <is>
          <t>CTRHI0015</t>
        </is>
      </c>
      <c r="B12" s="914" t="inlineStr">
        <is>
          <t>IGUALTAT DE GÈNERE EN L'AMBIT LABORAL [FORMA I CONTRACTE - ATURATS]</t>
        </is>
      </c>
      <c r="C12" s="915" t="inlineStr">
        <is>
          <t>1/1</t>
        </is>
      </c>
      <c r="D12" s="915" t="inlineStr">
        <is>
          <t>PER ASSIGNAR</t>
        </is>
      </c>
      <c r="E12" s="915" t="inlineStr">
        <is>
          <t>GOOGLE</t>
        </is>
      </c>
      <c r="F12" s="915" t="inlineStr">
        <is>
          <t>MATÍ</t>
        </is>
      </c>
      <c r="G12" s="914" t="inlineStr">
        <is>
          <t>9:00-14:00</t>
        </is>
      </c>
      <c r="H12" s="916" t="n">
        <v>46323</v>
      </c>
      <c r="I12" s="916" t="n">
        <v>46324</v>
      </c>
      <c r="J12" s="915" t="n">
        <v>2</v>
      </c>
      <c r="K12" s="915" t="n">
        <v>10</v>
      </c>
      <c r="L12" s="915" t="n">
        <v>10</v>
      </c>
      <c r="M12" s="914" t="inlineStr">
        <is>
          <t>2 dies × 5 h</t>
        </is>
      </c>
    </row>
    <row r="13">
      <c r="A13" s="924" t="inlineStr">
        <is>
          <t>FCOI25</t>
        </is>
      </c>
      <c r="B13" s="914" t="inlineStr">
        <is>
          <t>ACTIC. Seguretat i civisme en l'entorn digital – nivell intermedi [FORMA I CONTRACTE - ATURATS]</t>
        </is>
      </c>
      <c r="C13" s="915" t="inlineStr">
        <is>
          <t>1/1</t>
        </is>
      </c>
      <c r="D13" s="915" t="inlineStr">
        <is>
          <t>PER ASSIGNAR</t>
        </is>
      </c>
      <c r="E13" s="915" t="inlineStr">
        <is>
          <t>GOOGLE</t>
        </is>
      </c>
      <c r="F13" s="915" t="inlineStr">
        <is>
          <t>MATÍ</t>
        </is>
      </c>
      <c r="G13" s="914" t="inlineStr">
        <is>
          <t>9:00-15:00 (9:00-14:00 els dies de 5 h)</t>
        </is>
      </c>
      <c r="H13" s="916" t="n">
        <v>46325</v>
      </c>
      <c r="I13" s="916" t="n">
        <v>46335</v>
      </c>
      <c r="J13" s="915" t="n">
        <v>7</v>
      </c>
      <c r="K13" s="915" t="n">
        <v>40</v>
      </c>
      <c r="L13" s="915" t="n">
        <v>40</v>
      </c>
      <c r="M13" s="914" t="inlineStr">
        <is>
          <t>5 dies × 6 h + 2 dies × 5 h</t>
        </is>
      </c>
    </row>
    <row r="14">
      <c r="A14" s="925" t="inlineStr">
        <is>
          <t>FC01_FCOI18_202271</t>
        </is>
      </c>
      <c r="B14" s="914" t="inlineStr">
        <is>
          <t>Comunicació i col·laboració amb eines digitals (ACTIC Nivell bàsic)</t>
        </is>
      </c>
      <c r="C14" s="915" t="inlineStr">
        <is>
          <t>1/1</t>
        </is>
      </c>
      <c r="D14" s="915" t="inlineStr">
        <is>
          <t>MARIA</t>
        </is>
      </c>
      <c r="E14" s="915" t="inlineStr">
        <is>
          <t>FIREFOX</t>
        </is>
      </c>
      <c r="F14" s="915" t="inlineStr">
        <is>
          <t>MATÍ</t>
        </is>
      </c>
      <c r="G14" s="914" t="inlineStr">
        <is>
          <t>9:00-15:00 (9:00-14:00 els dies de 5 h)</t>
        </is>
      </c>
      <c r="H14" s="916" t="n">
        <v>46328</v>
      </c>
      <c r="I14" s="916" t="n">
        <v>46336</v>
      </c>
      <c r="J14" s="915" t="n">
        <v>7</v>
      </c>
      <c r="K14" s="915" t="n">
        <v>40</v>
      </c>
      <c r="L14" s="915" t="n">
        <v>40</v>
      </c>
      <c r="M14" s="914" t="inlineStr">
        <is>
          <t>5 dies × 6 h + 2 dies × 5 h</t>
        </is>
      </c>
    </row>
    <row r="15">
      <c r="A15" s="926" t="inlineStr">
        <is>
          <t>FC01_COMM0009_202370</t>
        </is>
      </c>
      <c r="B15" s="914" t="inlineStr">
        <is>
          <t>Atenció al client</t>
        </is>
      </c>
      <c r="C15" s="915" t="inlineStr">
        <is>
          <t>1/1</t>
        </is>
      </c>
      <c r="D15" s="915" t="inlineStr">
        <is>
          <t>TANIA/?</t>
        </is>
      </c>
      <c r="E15" s="915" t="inlineStr">
        <is>
          <t>COPILOT</t>
        </is>
      </c>
      <c r="F15" s="915" t="inlineStr">
        <is>
          <t>MATÍ</t>
        </is>
      </c>
      <c r="G15" s="914" t="inlineStr">
        <is>
          <t>9:00-15:00</t>
        </is>
      </c>
      <c r="H15" s="916" t="n">
        <v>46335</v>
      </c>
      <c r="I15" s="916" t="n">
        <v>46339</v>
      </c>
      <c r="J15" s="915" t="n">
        <v>5</v>
      </c>
      <c r="K15" s="915" t="n">
        <v>30</v>
      </c>
      <c r="L15" s="915" t="n">
        <v>30</v>
      </c>
      <c r="M15" s="914" t="inlineStr">
        <is>
          <t>5 dies × 6 h</t>
        </is>
      </c>
    </row>
    <row r="16">
      <c r="A16" s="927" t="inlineStr">
        <is>
          <t>ADGG0208</t>
        </is>
      </c>
      <c r="B16" s="914" t="inlineStr">
        <is>
          <t>ACTIVITATS ADMINISTRATIVES EN LA RELACIO AMB EL CLIENT [FORMA I CONTRACTE - ATURATS]</t>
        </is>
      </c>
      <c r="C16" s="915" t="inlineStr">
        <is>
          <t>1/1</t>
        </is>
      </c>
      <c r="D16" s="915" t="inlineStr">
        <is>
          <t>PER ASSIGNAR</t>
        </is>
      </c>
      <c r="E16" s="915" t="inlineStr">
        <is>
          <t>GOOGLE</t>
        </is>
      </c>
      <c r="F16" s="915" t="inlineStr">
        <is>
          <t>MATÍ</t>
        </is>
      </c>
      <c r="G16" s="914" t="inlineStr">
        <is>
          <t>9:00-15:00</t>
        </is>
      </c>
      <c r="H16" s="916" t="n">
        <v>46336</v>
      </c>
      <c r="I16" s="916" t="n">
        <v>46510</v>
      </c>
      <c r="J16" s="915" t="n">
        <v>113</v>
      </c>
      <c r="K16" s="915" t="n">
        <v>678</v>
      </c>
      <c r="L16" s="915" t="n">
        <v>678</v>
      </c>
      <c r="M16" s="914" t="inlineStr">
        <is>
          <t>113 dies × 6 h</t>
        </is>
      </c>
    </row>
    <row r="17">
      <c r="A17" s="928" t="inlineStr">
        <is>
          <t>FC01_SANP0011_202349</t>
        </is>
      </c>
      <c r="B17" s="914" t="inlineStr">
        <is>
          <t>Tècniques de massatge</t>
        </is>
      </c>
      <c r="C17" s="915" t="inlineStr">
        <is>
          <t>1/2</t>
        </is>
      </c>
      <c r="D17" s="915" t="inlineStr">
        <is>
          <t>ESTHER</t>
        </is>
      </c>
      <c r="E17" s="915" t="inlineStr">
        <is>
          <t>COPILOT</t>
        </is>
      </c>
      <c r="F17" s="915" t="inlineStr">
        <is>
          <t>TARDA</t>
        </is>
      </c>
      <c r="G17" s="914" t="inlineStr">
        <is>
          <t>15:00-20:00</t>
        </is>
      </c>
      <c r="H17" s="916" t="n">
        <v>46342</v>
      </c>
      <c r="I17" s="916" t="n">
        <v>46345</v>
      </c>
      <c r="J17" s="915" t="n">
        <v>4</v>
      </c>
      <c r="K17" s="915" t="n">
        <v>20</v>
      </c>
      <c r="L17" s="915" t="n">
        <v>20</v>
      </c>
      <c r="M17" s="914" t="inlineStr">
        <is>
          <t>4 dies × 5 h</t>
        </is>
      </c>
    </row>
    <row r="18">
      <c r="A18" s="929" t="inlineStr">
        <is>
          <t>FC01_FCOI15_202271</t>
        </is>
      </c>
      <c r="B18" s="914" t="inlineStr">
        <is>
          <t>Creació de continguts digitals (ACTIC Nivell bàsic)</t>
        </is>
      </c>
      <c r="C18" s="915" t="inlineStr">
        <is>
          <t>1/1</t>
        </is>
      </c>
      <c r="D18" s="915" t="inlineStr">
        <is>
          <t>MARIA</t>
        </is>
      </c>
      <c r="E18" s="915" t="inlineStr">
        <is>
          <t>FIREFOX</t>
        </is>
      </c>
      <c r="F18" s="915" t="inlineStr">
        <is>
          <t>MATÍ</t>
        </is>
      </c>
      <c r="G18" s="914" t="inlineStr">
        <is>
          <t>9:00-15:00 (9:00-14:00 els dies de 5 h)</t>
        </is>
      </c>
      <c r="H18" s="916" t="n">
        <v>46349</v>
      </c>
      <c r="I18" s="916" t="n">
        <v>46357</v>
      </c>
      <c r="J18" s="915" t="n">
        <v>7</v>
      </c>
      <c r="K18" s="915" t="n">
        <v>40</v>
      </c>
      <c r="L18" s="915" t="n">
        <v>40</v>
      </c>
      <c r="M18" s="914" t="inlineStr">
        <is>
          <t>5 dies × 6 h + 2 dies × 5 h</t>
        </is>
      </c>
    </row>
    <row r="19">
      <c r="A19" s="930" t="inlineStr">
        <is>
          <t>FC01_IFCT117_202470</t>
        </is>
      </c>
      <c r="B19" s="914" t="inlineStr">
        <is>
          <t>Introducció a la intel·ligència artificial</t>
        </is>
      </c>
      <c r="C19" s="915" t="inlineStr">
        <is>
          <t>1/2</t>
        </is>
      </c>
      <c r="D19" s="915" t="inlineStr">
        <is>
          <t>MARIA</t>
        </is>
      </c>
      <c r="E19" s="915" t="inlineStr">
        <is>
          <t>FIREFOX</t>
        </is>
      </c>
      <c r="F19" s="915" t="inlineStr">
        <is>
          <t>MATÍ</t>
        </is>
      </c>
      <c r="G19" s="914" t="inlineStr">
        <is>
          <t>9:00-14:00</t>
        </is>
      </c>
      <c r="H19" s="916" t="n">
        <v>46398</v>
      </c>
      <c r="I19" s="916" t="n">
        <v>46402</v>
      </c>
      <c r="J19" s="915" t="n">
        <v>5</v>
      </c>
      <c r="K19" s="915" t="n">
        <v>25</v>
      </c>
      <c r="L19" s="915" t="n">
        <v>25</v>
      </c>
      <c r="M19" s="914" t="inlineStr">
        <is>
          <t>5 dies × 5 h</t>
        </is>
      </c>
    </row>
    <row r="20">
      <c r="A20" s="931" t="inlineStr">
        <is>
          <t>FC01_IFCD64_202164</t>
        </is>
      </c>
      <c r="B20" s="914" t="inlineStr">
        <is>
          <t>Gestió de Projectes d'implementació del CRM</t>
        </is>
      </c>
      <c r="C20" s="915" t="inlineStr">
        <is>
          <t>1/1</t>
        </is>
      </c>
      <c r="D20" s="915" t="inlineStr">
        <is>
          <t>PER ASSIGNAR</t>
        </is>
      </c>
      <c r="E20" s="915" t="inlineStr">
        <is>
          <t>COPILOT</t>
        </is>
      </c>
      <c r="F20" s="915" t="inlineStr">
        <is>
          <t>MATÍ</t>
        </is>
      </c>
      <c r="G20" s="914" t="inlineStr">
        <is>
          <t>9:00-15:00 (9:00-14:00 els dies de 5 h)</t>
        </is>
      </c>
      <c r="H20" s="916" t="n">
        <v>46398</v>
      </c>
      <c r="I20" s="916" t="n">
        <v>46430</v>
      </c>
      <c r="J20" s="915" t="n">
        <v>25</v>
      </c>
      <c r="K20" s="915" t="n">
        <v>145</v>
      </c>
      <c r="L20" s="915" t="n">
        <v>145</v>
      </c>
      <c r="M20" s="914" t="inlineStr">
        <is>
          <t>20 dies × 6 h + 5 dies × 5 h</t>
        </is>
      </c>
    </row>
    <row r="21">
      <c r="A21" s="932" t="inlineStr">
        <is>
          <t>FC01_CTRP0006_202370</t>
        </is>
      </c>
      <c r="B21" s="914" t="inlineStr">
        <is>
          <t>Mindfulness</t>
        </is>
      </c>
      <c r="C21" s="915" t="inlineStr">
        <is>
          <t>1/1</t>
        </is>
      </c>
      <c r="D21" s="915" t="inlineStr">
        <is>
          <t>RAMON</t>
        </is>
      </c>
      <c r="E21" s="915" t="inlineStr">
        <is>
          <t>GOOGLE</t>
        </is>
      </c>
      <c r="F21" s="915" t="inlineStr">
        <is>
          <t>TARDA</t>
        </is>
      </c>
      <c r="G21" s="914" t="inlineStr">
        <is>
          <t>15:00-21:00</t>
        </is>
      </c>
      <c r="H21" s="916" t="n">
        <v>46398</v>
      </c>
      <c r="I21" s="916" t="n">
        <v>46402</v>
      </c>
      <c r="J21" s="915" t="n">
        <v>5</v>
      </c>
      <c r="K21" s="915" t="n">
        <v>30</v>
      </c>
      <c r="L21" s="915" t="n">
        <v>30</v>
      </c>
      <c r="M21" s="914" t="inlineStr">
        <is>
          <t>5 dies × 6 h</t>
        </is>
      </c>
    </row>
    <row r="22">
      <c r="A22" s="933" t="inlineStr">
        <is>
          <t>FC01_SEAD0227_202370</t>
        </is>
      </c>
      <c r="B22" s="914" t="inlineStr">
        <is>
          <t>Tècniques de relaxació</t>
        </is>
      </c>
      <c r="C22" s="915" t="inlineStr">
        <is>
          <t>1/1</t>
        </is>
      </c>
      <c r="D22" s="915" t="inlineStr">
        <is>
          <t>ESTHER</t>
        </is>
      </c>
      <c r="E22" s="915" t="inlineStr">
        <is>
          <t>GOOGLE</t>
        </is>
      </c>
      <c r="F22" s="915" t="inlineStr">
        <is>
          <t>TARDA</t>
        </is>
      </c>
      <c r="G22" s="914" t="inlineStr">
        <is>
          <t>15:00-20:00</t>
        </is>
      </c>
      <c r="H22" s="916" t="n">
        <v>46405</v>
      </c>
      <c r="I22" s="916" t="n">
        <v>46408</v>
      </c>
      <c r="J22" s="915" t="n">
        <v>4</v>
      </c>
      <c r="K22" s="915" t="n">
        <v>20</v>
      </c>
      <c r="L22" s="915" t="n">
        <v>20</v>
      </c>
      <c r="M22" s="914" t="inlineStr">
        <is>
          <t>4 dies × 5 h</t>
        </is>
      </c>
    </row>
    <row r="23">
      <c r="A23" s="934" t="inlineStr">
        <is>
          <t>FC01_CTRL0041_202470</t>
        </is>
      </c>
      <c r="B23" s="914" t="inlineStr">
        <is>
          <t>CTRL0041_2024_Català A2.1 (Català bàsic 1 )</t>
        </is>
      </c>
      <c r="C23" s="915" t="inlineStr">
        <is>
          <t>1/1</t>
        </is>
      </c>
      <c r="D23" s="915" t="inlineStr">
        <is>
          <t>PER ASSIGNAR</t>
        </is>
      </c>
      <c r="E23" s="915" t="inlineStr">
        <is>
          <t>COPILOT</t>
        </is>
      </c>
      <c r="F23" s="915" t="inlineStr">
        <is>
          <t>TARDA</t>
        </is>
      </c>
      <c r="G23" s="914" t="inlineStr">
        <is>
          <t>15:00-21:00 (15:00-20:00 els dies de 5 h)</t>
        </is>
      </c>
      <c r="H23" s="916" t="n">
        <v>46405</v>
      </c>
      <c r="I23" s="916" t="n">
        <v>46414</v>
      </c>
      <c r="J23" s="915" t="n">
        <v>8</v>
      </c>
      <c r="K23" s="915" t="n">
        <v>45</v>
      </c>
      <c r="L23" s="915" t="n">
        <v>45</v>
      </c>
      <c r="M23" s="914" t="inlineStr">
        <is>
          <t>5 dies × 6 h + 3 dies × 5 h</t>
        </is>
      </c>
    </row>
    <row r="24">
      <c r="A24" s="935" t="inlineStr">
        <is>
          <t>FC01_FCOI19_202271</t>
        </is>
      </c>
      <c r="B24" s="914" t="inlineStr">
        <is>
          <t>Comunicació i col·laboració amb eines digitals (ACTIC Nivell intermedi)</t>
        </is>
      </c>
      <c r="C24" s="915" t="inlineStr">
        <is>
          <t>1/2</t>
        </is>
      </c>
      <c r="D24" s="915" t="inlineStr">
        <is>
          <t>MARIA</t>
        </is>
      </c>
      <c r="E24" s="915" t="inlineStr">
        <is>
          <t>FIREFOX</t>
        </is>
      </c>
      <c r="F24" s="915" t="inlineStr">
        <is>
          <t>MATÍ</t>
        </is>
      </c>
      <c r="G24" s="914" t="inlineStr">
        <is>
          <t>9:00-15:00 (9:00-14:00 els dies de 5 h)</t>
        </is>
      </c>
      <c r="H24" s="916" t="n">
        <v>46419</v>
      </c>
      <c r="I24" s="916" t="n">
        <v>46427</v>
      </c>
      <c r="J24" s="915" t="n">
        <v>7</v>
      </c>
      <c r="K24" s="915" t="n">
        <v>40</v>
      </c>
      <c r="L24" s="915" t="n">
        <v>40</v>
      </c>
      <c r="M24" s="914" t="inlineStr">
        <is>
          <t>5 dies × 6 h + 2 dies × 5 h</t>
        </is>
      </c>
    </row>
    <row r="25">
      <c r="A25" s="936" t="inlineStr">
        <is>
          <t>B_IMPE0110_MF0063</t>
        </is>
      </c>
      <c r="B25" s="914" t="inlineStr">
        <is>
          <t>MASSATGES ESTÈTIC MANUAL I MECÀNIC</t>
        </is>
      </c>
      <c r="C25" s="915" t="inlineStr">
        <is>
          <t>1/1</t>
        </is>
      </c>
      <c r="D25" s="915" t="inlineStr">
        <is>
          <t>LEIRE</t>
        </is>
      </c>
      <c r="E25" s="915" t="inlineStr">
        <is>
          <t>COPILOT</t>
        </is>
      </c>
      <c r="F25" s="915" t="inlineStr">
        <is>
          <t>TARDA</t>
        </is>
      </c>
      <c r="G25" s="914" t="inlineStr">
        <is>
          <t>15:00-21:00 (15:00-20:00 els dies de 5 h)</t>
        </is>
      </c>
      <c r="H25" s="916" t="n">
        <v>46419</v>
      </c>
      <c r="I25" s="916" t="n">
        <v>46454</v>
      </c>
      <c r="J25" s="915" t="n">
        <v>26</v>
      </c>
      <c r="K25" s="915" t="n">
        <v>152</v>
      </c>
      <c r="L25" s="915" t="n">
        <v>152</v>
      </c>
      <c r="M25" s="914" t="inlineStr">
        <is>
          <t>22 dies × 6 h + 4 dies × 5 h</t>
        </is>
      </c>
    </row>
    <row r="26">
      <c r="A26" s="937" t="inlineStr">
        <is>
          <t>FC01_CTRP0037_202670</t>
        </is>
      </c>
      <c r="B26" s="914" t="inlineStr">
        <is>
          <t>Coaching de fortaleses. Nivell II</t>
        </is>
      </c>
      <c r="C26" s="915" t="inlineStr">
        <is>
          <t>1/1</t>
        </is>
      </c>
      <c r="D26" s="915" t="inlineStr">
        <is>
          <t>RAMON</t>
        </is>
      </c>
      <c r="E26" s="915" t="inlineStr">
        <is>
          <t>COPILOT</t>
        </is>
      </c>
      <c r="F26" s="915" t="inlineStr">
        <is>
          <t>MATÍ</t>
        </is>
      </c>
      <c r="G26" s="914" t="inlineStr">
        <is>
          <t>9:00-15:00 (9:00-14:00 els dies de 5 h)</t>
        </is>
      </c>
      <c r="H26" s="916" t="n">
        <v>46433</v>
      </c>
      <c r="I26" s="916" t="n">
        <v>46441</v>
      </c>
      <c r="J26" s="915" t="n">
        <v>7</v>
      </c>
      <c r="K26" s="915" t="n">
        <v>40</v>
      </c>
      <c r="L26" s="915" t="n">
        <v>40</v>
      </c>
      <c r="M26" s="914" t="inlineStr">
        <is>
          <t>5 dies × 6 h + 2 dies × 5 h</t>
        </is>
      </c>
    </row>
    <row r="27">
      <c r="A27" s="938" t="inlineStr">
        <is>
          <t>FC01_FCOI16_202271</t>
        </is>
      </c>
      <c r="B27" s="914" t="inlineStr">
        <is>
          <t>Creació de continguts digitals i programació (ACTIC Nivell intermedi)</t>
        </is>
      </c>
      <c r="C27" s="915" t="inlineStr">
        <is>
          <t>1/2</t>
        </is>
      </c>
      <c r="D27" s="915" t="inlineStr">
        <is>
          <t>MARIA</t>
        </is>
      </c>
      <c r="E27" s="915" t="inlineStr">
        <is>
          <t>FIREFOX</t>
        </is>
      </c>
      <c r="F27" s="915" t="inlineStr">
        <is>
          <t>MATÍ</t>
        </is>
      </c>
      <c r="G27" s="914" t="inlineStr">
        <is>
          <t>9:00-15:00 (9:00-14:00 els dies de 5 h)</t>
        </is>
      </c>
      <c r="H27" s="916" t="n">
        <v>46440</v>
      </c>
      <c r="I27" s="916" t="n">
        <v>46448</v>
      </c>
      <c r="J27" s="915" t="n">
        <v>7</v>
      </c>
      <c r="K27" s="915" t="n">
        <v>40</v>
      </c>
      <c r="L27" s="915" t="n">
        <v>40</v>
      </c>
      <c r="M27" s="914" t="inlineStr">
        <is>
          <t>5 dies × 6 h + 2 dies × 5 h</t>
        </is>
      </c>
    </row>
    <row r="28">
      <c r="A28" s="928" t="inlineStr">
        <is>
          <t>FC01_SANP0011_202349</t>
        </is>
      </c>
      <c r="B28" s="914" t="inlineStr">
        <is>
          <t>Tècniques de massatge</t>
        </is>
      </c>
      <c r="C28" s="915" t="inlineStr">
        <is>
          <t>2/2</t>
        </is>
      </c>
      <c r="D28" s="915" t="inlineStr">
        <is>
          <t>ESTHER</t>
        </is>
      </c>
      <c r="E28" s="915" t="inlineStr">
        <is>
          <t>GOOGLE</t>
        </is>
      </c>
      <c r="F28" s="915" t="inlineStr">
        <is>
          <t>TARDA</t>
        </is>
      </c>
      <c r="G28" s="914" t="inlineStr">
        <is>
          <t>15:00-20:00</t>
        </is>
      </c>
      <c r="H28" s="916" t="n">
        <v>46447</v>
      </c>
      <c r="I28" s="916" t="n">
        <v>46450</v>
      </c>
      <c r="J28" s="915" t="n">
        <v>4</v>
      </c>
      <c r="K28" s="915" t="n">
        <v>20</v>
      </c>
      <c r="L28" s="915" t="n">
        <v>20</v>
      </c>
      <c r="M28" s="914" t="inlineStr">
        <is>
          <t>4 dies × 5 h</t>
        </is>
      </c>
    </row>
    <row r="29">
      <c r="A29" s="919" t="inlineStr">
        <is>
          <t>B_IMPE0110_MF0790</t>
        </is>
      </c>
      <c r="B29" s="914" t="inlineStr">
        <is>
          <t>DRENATGE LIMFÀTIC ESTÈTIC MANUAL I MECÀNIC</t>
        </is>
      </c>
      <c r="C29" s="915" t="inlineStr">
        <is>
          <t>1/1</t>
        </is>
      </c>
      <c r="D29" s="915" t="inlineStr">
        <is>
          <t>LEIRE</t>
        </is>
      </c>
      <c r="E29" s="915" t="inlineStr">
        <is>
          <t>COPILOT</t>
        </is>
      </c>
      <c r="F29" s="915" t="inlineStr">
        <is>
          <t>MATÍ</t>
        </is>
      </c>
      <c r="G29" s="914" t="inlineStr">
        <is>
          <t>9:00-15:00</t>
        </is>
      </c>
      <c r="H29" s="916" t="n">
        <v>46455</v>
      </c>
      <c r="I29" s="916" t="n">
        <v>46483</v>
      </c>
      <c r="J29" s="915" t="n">
        <v>19</v>
      </c>
      <c r="K29" s="915" t="n">
        <v>114</v>
      </c>
      <c r="L29" s="915" t="n">
        <v>114</v>
      </c>
      <c r="M29" s="914" t="inlineStr">
        <is>
          <t>19 dies × 6 h</t>
        </is>
      </c>
    </row>
    <row r="30">
      <c r="A30" s="935" t="inlineStr">
        <is>
          <t>FC01_FCOI19_202271</t>
        </is>
      </c>
      <c r="B30" s="914" t="inlineStr">
        <is>
          <t>Comunicació i col·laboració amb eines digitals (ACTIC Nivell intermedi)</t>
        </is>
      </c>
      <c r="C30" s="915" t="inlineStr">
        <is>
          <t>2/2</t>
        </is>
      </c>
      <c r="D30" s="915" t="inlineStr">
        <is>
          <t>MARIA</t>
        </is>
      </c>
      <c r="E30" s="915" t="inlineStr">
        <is>
          <t>FIREFOX</t>
        </is>
      </c>
      <c r="F30" s="915" t="inlineStr">
        <is>
          <t>MATÍ</t>
        </is>
      </c>
      <c r="G30" s="914" t="inlineStr">
        <is>
          <t>9:00-15:00 (9:00-14:00 els dies de 5 h)</t>
        </is>
      </c>
      <c r="H30" s="916" t="n">
        <v>46461</v>
      </c>
      <c r="I30" s="916" t="n">
        <v>46469</v>
      </c>
      <c r="J30" s="915" t="n">
        <v>7</v>
      </c>
      <c r="K30" s="915" t="n">
        <v>40</v>
      </c>
      <c r="L30" s="915" t="n">
        <v>40</v>
      </c>
      <c r="M30" s="914" t="inlineStr">
        <is>
          <t>5 dies × 6 h + 2 dies × 5 h</t>
        </is>
      </c>
    </row>
    <row r="31">
      <c r="A31" s="922" t="inlineStr">
        <is>
          <t>B_IMPE110_MF0791</t>
        </is>
      </c>
      <c r="B31" s="914" t="inlineStr">
        <is>
          <t>MASSATGES ESTÈTICS AMB TÈCNIQUES PER PRESSIÓ</t>
        </is>
      </c>
      <c r="C31" s="915" t="inlineStr">
        <is>
          <t>1/1</t>
        </is>
      </c>
      <c r="D31" s="915" t="inlineStr">
        <is>
          <t>LEIRE</t>
        </is>
      </c>
      <c r="E31" s="915" t="inlineStr">
        <is>
          <t>COPILOT</t>
        </is>
      </c>
      <c r="F31" s="915" t="inlineStr">
        <is>
          <t>MATÍ</t>
        </is>
      </c>
      <c r="G31" s="914" t="inlineStr">
        <is>
          <t>9:00-15:00</t>
        </is>
      </c>
      <c r="H31" s="916" t="n">
        <v>46484</v>
      </c>
      <c r="I31" s="916" t="n">
        <v>46510</v>
      </c>
      <c r="J31" s="915" t="n">
        <v>19</v>
      </c>
      <c r="K31" s="915" t="n">
        <v>114</v>
      </c>
      <c r="L31" s="915" t="n">
        <v>114</v>
      </c>
      <c r="M31" s="914" t="inlineStr">
        <is>
          <t>19 dies × 6 h</t>
        </is>
      </c>
    </row>
    <row r="32">
      <c r="A32" s="938" t="inlineStr">
        <is>
          <t>FC01_FCOI16_202271</t>
        </is>
      </c>
      <c r="B32" s="914" t="inlineStr">
        <is>
          <t>Creació de continguts digitals i programació (ACTIC Nivell intermedi)</t>
        </is>
      </c>
      <c r="C32" s="915" t="inlineStr">
        <is>
          <t>2/2</t>
        </is>
      </c>
      <c r="D32" s="915" t="inlineStr">
        <is>
          <t>MARIA</t>
        </is>
      </c>
      <c r="E32" s="915" t="inlineStr">
        <is>
          <t>FIREFOX</t>
        </is>
      </c>
      <c r="F32" s="915" t="inlineStr">
        <is>
          <t>MATÍ</t>
        </is>
      </c>
      <c r="G32" s="914" t="inlineStr">
        <is>
          <t>9:00-15:00 (9:00-14:00 els dies de 5 h)</t>
        </is>
      </c>
      <c r="H32" s="916" t="n">
        <v>46489</v>
      </c>
      <c r="I32" s="916" t="n">
        <v>46497</v>
      </c>
      <c r="J32" s="915" t="n">
        <v>7</v>
      </c>
      <c r="K32" s="915" t="n">
        <v>40</v>
      </c>
      <c r="L32" s="915" t="n">
        <v>40</v>
      </c>
      <c r="M32" s="914" t="inlineStr">
        <is>
          <t>5 dies × 6 h + 2 dies × 5 h</t>
        </is>
      </c>
    </row>
    <row r="33">
      <c r="A33" s="930" t="inlineStr">
        <is>
          <t>FC01_IFCT117_202470</t>
        </is>
      </c>
      <c r="B33" s="914" t="inlineStr">
        <is>
          <t>Introducció a la intel·ligència artificial</t>
        </is>
      </c>
      <c r="C33" s="915" t="inlineStr">
        <is>
          <t>2/2</t>
        </is>
      </c>
      <c r="D33" s="915" t="inlineStr">
        <is>
          <t>MARIA</t>
        </is>
      </c>
      <c r="E33" s="915" t="inlineStr">
        <is>
          <t>FIREFOX</t>
        </is>
      </c>
      <c r="F33" s="915" t="inlineStr">
        <is>
          <t>MATÍ</t>
        </is>
      </c>
      <c r="G33" s="914" t="inlineStr">
        <is>
          <t>9:00-14:00</t>
        </is>
      </c>
      <c r="H33" s="916" t="n">
        <v>46510</v>
      </c>
      <c r="I33" s="916" t="n">
        <v>46514</v>
      </c>
      <c r="J33" s="915" t="n">
        <v>5</v>
      </c>
      <c r="K33" s="915" t="n">
        <v>25</v>
      </c>
      <c r="L33" s="915" t="n">
        <v>25</v>
      </c>
      <c r="M33" s="914" t="inlineStr">
        <is>
          <t>5 dies × 5 h</t>
        </is>
      </c>
    </row>
    <row r="34">
      <c r="A34" s="913" t="inlineStr">
        <is>
          <t>B_IMPE0110_MF0792</t>
        </is>
      </c>
      <c r="B34" s="914" t="inlineStr">
        <is>
          <t>TÈCNIQUES SENSORIALS ESTÈTIQUES</t>
        </is>
      </c>
      <c r="C34" s="915" t="inlineStr">
        <is>
          <t>1/1</t>
        </is>
      </c>
      <c r="D34" s="915" t="inlineStr">
        <is>
          <t>LEIRE</t>
        </is>
      </c>
      <c r="E34" s="915" t="inlineStr">
        <is>
          <t>GOOGLE</t>
        </is>
      </c>
      <c r="F34" s="915" t="inlineStr">
        <is>
          <t>MATÍ</t>
        </is>
      </c>
      <c r="G34" s="914" t="inlineStr">
        <is>
          <t>9:00-15:00 (9:00-14:00 els dies de 5 h)</t>
        </is>
      </c>
      <c r="H34" s="916" t="n">
        <v>46511</v>
      </c>
      <c r="I34" s="916" t="n">
        <v>46527</v>
      </c>
      <c r="J34" s="915" t="n">
        <v>13</v>
      </c>
      <c r="K34" s="915" t="n">
        <v>76</v>
      </c>
      <c r="L34" s="915" t="n">
        <v>76</v>
      </c>
      <c r="M34" s="914" t="inlineStr">
        <is>
          <t>11 dies × 6 h + 2 dies × 5 h</t>
        </is>
      </c>
    </row>
    <row r="35">
      <c r="A35" s="939" t="inlineStr">
        <is>
          <t>FC01_FCOI20_202271</t>
        </is>
      </c>
      <c r="B35" s="914" t="inlineStr">
        <is>
          <t>Comunicació i col·laboració amb eines digitals (ACTIC Nivell avançat)</t>
        </is>
      </c>
      <c r="C35" s="915" t="inlineStr">
        <is>
          <t>1/1</t>
        </is>
      </c>
      <c r="D35" s="915" t="inlineStr">
        <is>
          <t>MARIA</t>
        </is>
      </c>
      <c r="E35" s="915" t="inlineStr">
        <is>
          <t>GOOGLE</t>
        </is>
      </c>
      <c r="F35" s="915" t="inlineStr">
        <is>
          <t>MATÍ</t>
        </is>
      </c>
      <c r="G35" s="914" t="inlineStr">
        <is>
          <t>9:00-15:00 (9:00-14:00 els dies de 5 h)</t>
        </is>
      </c>
      <c r="H35" s="916" t="n">
        <v>46531</v>
      </c>
      <c r="I35" s="916" t="n">
        <v>46539</v>
      </c>
      <c r="J35" s="915" t="n">
        <v>7</v>
      </c>
      <c r="K35" s="915" t="n">
        <v>40</v>
      </c>
      <c r="L35" s="915" t="n">
        <v>40</v>
      </c>
      <c r="M35" s="914" t="inlineStr">
        <is>
          <t>5 dies × 6 h + 2 dies × 5 h</t>
        </is>
      </c>
    </row>
    <row r="36">
      <c r="J36" s="940" t="inlineStr">
        <is>
          <t>TOTAL</t>
        </is>
      </c>
      <c r="K36" s="940">
        <f>SUM(K5:K35)</f>
        <v/>
      </c>
      <c r="L36" s="940">
        <f>SUM(L5:L35)</f>
        <v/>
      </c>
    </row>
    <row r="38">
      <c r="A38" t="inlineStr">
        <is>
          <t>Notes:</t>
        </is>
      </c>
    </row>
    <row r="39">
      <c r="A39" s="941" t="inlineStr">
        <is>
          <t>• Hores d'ADGG0208 (678), FCOS02 (30), CTRH0011 (10) i CTRHI0015 (10) facilitades per l'usuari. FCOI25 (40 h) es programa dins de Forma i Contracte. Els codis de les files 31-43 no tenen hores i no s'han programat.</t>
        </is>
      </c>
    </row>
    <row r="40">
      <c r="A40" s="941" t="inlineStr">
        <is>
          <t>• MARIA: només matins (disponibilitat 'Matins lliure // Tardes: 1 formació per mes'). S'han evitat els dies en què ja fa 'IA MARIA' a GOOGLE MATINS (set.-oct. 2026).</t>
        </is>
      </c>
    </row>
    <row r="41">
      <c r="A41" s="941" t="inlineStr">
        <is>
          <t>• Un docent no té mai dues formacions el mateix dia. Els nivells (bàsic → intermedi → avançat, Coaching I → II, Català A1 → A2.1 i mòduls IMPE0110) es programen en ordre.</t>
        </is>
      </c>
    </row>
    <row r="42">
      <c r="A42" s="941" t="inlineStr">
        <is>
          <t>• No s'ha tocat cap cel·la ja ocupada del cronograma ni les aules de TARRAGONA / ON LINE.</t>
        </is>
      </c>
    </row>
    <row r="43">
      <c r="A43" s="941" t="inlineStr">
        <is>
          <t>• 2027: festius, vacances i dies laborables segons la graella 'Calendari 2027' del CALENDARI_LABORAL_2027 corregit (12/10 festiu; 04/09 i 15/09 laborables a canvi del 25/06 i 07/12, festius Multimèdia; vacances de Nadal 24-31/12).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L96"/>
  <sheetViews>
    <sheetView topLeftCell="A12" zoomScale="96" zoomScaleNormal="96" workbookViewId="0">
      <selection activeCell="AJ35" sqref="AJ35"/>
    </sheetView>
  </sheetViews>
  <sheetFormatPr baseColWidth="10" defaultColWidth="11.42578125" defaultRowHeight="15"/>
  <cols>
    <col width="19.28515625" customWidth="1" style="757" min="1" max="1"/>
    <col width="8.28515625" customWidth="1" style="757" min="2" max="2"/>
    <col width="7.85546875" customWidth="1" style="757" min="3" max="3"/>
    <col width="5.140625" customWidth="1" style="757" min="4" max="4"/>
    <col width="4.7109375" customWidth="1" style="757" min="5" max="5"/>
    <col width="4.5703125" customWidth="1" style="757" min="6" max="35"/>
    <col width="9.28515625" customWidth="1" style="6" min="36" max="36"/>
    <col width="6.5703125" customWidth="1" style="757" min="37" max="37"/>
    <col width="7.85546875" customWidth="1" style="757" min="38" max="38"/>
    <col width="4.5703125" customWidth="1" style="757" min="39" max="42"/>
    <col width="3.7109375" customWidth="1" style="757" min="43" max="43"/>
    <col width="6.5703125" customWidth="1" style="757" min="44" max="44"/>
    <col width="4.5703125" customWidth="1" style="757" min="45" max="48"/>
    <col width="5.85546875" customWidth="1" style="757" min="49" max="49"/>
    <col width="8.28515625" customWidth="1" style="757" min="50" max="50"/>
    <col width="5.28515625" customWidth="1" style="757" min="51" max="51"/>
    <col width="6.7109375" customWidth="1" style="757" min="52" max="52"/>
    <col width="7.5703125" customWidth="1" style="757" min="53" max="53"/>
    <col width="5.140625" customWidth="1" style="757" min="54" max="54"/>
    <col width="11.28515625" customWidth="1" style="757" min="55" max="55"/>
  </cols>
  <sheetData>
    <row r="1" ht="46.5" customHeight="1" s="757">
      <c r="A1" s="775" t="inlineStr">
        <is>
          <t>ACTUALITZAT 23/01/2024</t>
        </is>
      </c>
      <c r="H1" s="746" t="inlineStr">
        <is>
          <t>ANY 2024</t>
        </is>
      </c>
      <c r="I1" s="795" t="n"/>
      <c r="J1" s="795" t="n"/>
      <c r="K1" s="795" t="n"/>
      <c r="L1" s="795" t="n"/>
      <c r="M1" s="795" t="n"/>
      <c r="N1" s="795" t="n"/>
      <c r="O1" s="795" t="n"/>
      <c r="P1" s="795" t="n"/>
      <c r="AJ1" s="524" t="inlineStr">
        <is>
          <t>DIES</t>
        </is>
      </c>
      <c r="AL1" s="747" t="n"/>
      <c r="AS1" s="231" t="n"/>
      <c r="AT1" s="51" t="n"/>
      <c r="AU1" s="61" t="n"/>
      <c r="AW1" s="52" t="n"/>
      <c r="AX1" s="253" t="n"/>
      <c r="AY1" s="542" t="n"/>
      <c r="AZ1" s="543" t="n"/>
      <c r="BB1" s="116" t="n"/>
    </row>
    <row r="2" ht="21.75" customFormat="1" customHeight="1" s="4" thickBot="1">
      <c r="A2" s="788" t="inlineStr">
        <is>
          <t>GENER</t>
        </is>
      </c>
      <c r="B2" s="156" t="n"/>
      <c r="C2" s="156" t="n"/>
      <c r="D2" s="156" t="n"/>
      <c r="E2" s="156" t="n"/>
      <c r="F2" s="156" t="n"/>
      <c r="G2" s="156" t="n"/>
      <c r="H2" s="156" t="n"/>
      <c r="I2" s="156" t="n"/>
      <c r="J2" s="156" t="n"/>
      <c r="K2" s="156" t="n"/>
      <c r="L2" s="156" t="n"/>
      <c r="M2" s="156" t="n"/>
      <c r="N2" s="156" t="n"/>
      <c r="O2" s="156" t="n"/>
      <c r="P2" s="156" t="n"/>
      <c r="Q2" s="156" t="n"/>
      <c r="R2" s="156" t="n"/>
      <c r="S2" s="156" t="n"/>
      <c r="T2" s="156" t="n"/>
      <c r="U2" s="156" t="n"/>
      <c r="V2" s="156" t="n"/>
      <c r="W2" s="156" t="n"/>
      <c r="X2" s="156" t="n"/>
      <c r="Y2" s="156" t="n"/>
      <c r="Z2" s="156" t="n"/>
      <c r="AA2" s="156" t="n"/>
      <c r="AB2" s="156" t="n"/>
      <c r="AC2" s="156" t="n"/>
      <c r="AD2" s="156" t="n"/>
      <c r="AE2" s="156" t="n"/>
      <c r="AF2" s="156" t="n"/>
      <c r="AG2" s="156" t="n"/>
      <c r="AH2" s="156" t="n"/>
      <c r="AI2" s="142" t="n"/>
      <c r="AJ2" s="524" t="n">
        <v>22</v>
      </c>
      <c r="AL2" s="666" t="inlineStr">
        <is>
          <t>ADA</t>
        </is>
      </c>
      <c r="AP2" s="2" t="n"/>
      <c r="AQ2" s="2" t="n"/>
      <c r="AR2" s="666" t="inlineStr">
        <is>
          <t>FOAP</t>
        </is>
      </c>
      <c r="BB2" s="272" t="inlineStr">
        <is>
          <t>CONSORCI</t>
        </is>
      </c>
      <c r="BC2" s="272" t="n"/>
      <c r="BD2" s="272" t="n"/>
      <c r="BE2" s="272" t="n"/>
      <c r="BF2" s="272" t="n"/>
      <c r="BG2" s="272" t="n"/>
    </row>
    <row r="3" ht="63" customFormat="1" customHeight="1" s="5">
      <c r="A3" s="7" t="inlineStr">
        <is>
          <t>AULA</t>
        </is>
      </c>
      <c r="B3" s="8" t="inlineStr">
        <is>
          <t>INICI</t>
        </is>
      </c>
      <c r="C3" s="8" t="inlineStr">
        <is>
          <t>FINAL</t>
        </is>
      </c>
      <c r="D3" s="8" t="inlineStr">
        <is>
          <t>AULA</t>
        </is>
      </c>
      <c r="E3" s="9" t="n">
        <v>45292</v>
      </c>
      <c r="F3" s="9" t="n">
        <v>45293</v>
      </c>
      <c r="G3" s="9" t="n">
        <v>45294</v>
      </c>
      <c r="H3" s="9" t="n">
        <v>45295</v>
      </c>
      <c r="I3" s="9" t="n">
        <v>45296</v>
      </c>
      <c r="J3" s="9" t="n">
        <v>45297</v>
      </c>
      <c r="K3" s="9" t="n">
        <v>45298</v>
      </c>
      <c r="L3" s="9" t="n">
        <v>45299</v>
      </c>
      <c r="M3" s="9" t="n">
        <v>45300</v>
      </c>
      <c r="N3" s="9" t="n">
        <v>45301</v>
      </c>
      <c r="O3" s="9" t="n">
        <v>45302</v>
      </c>
      <c r="P3" s="9" t="n">
        <v>45303</v>
      </c>
      <c r="Q3" s="9" t="n">
        <v>45304</v>
      </c>
      <c r="R3" s="9" t="n">
        <v>45305</v>
      </c>
      <c r="S3" s="9" t="n">
        <v>45306</v>
      </c>
      <c r="T3" s="9" t="n">
        <v>45307</v>
      </c>
      <c r="U3" s="9" t="n">
        <v>45308</v>
      </c>
      <c r="V3" s="9" t="n">
        <v>45309</v>
      </c>
      <c r="W3" s="9" t="n">
        <v>45310</v>
      </c>
      <c r="X3" s="9" t="n">
        <v>45311</v>
      </c>
      <c r="Y3" s="9" t="n">
        <v>45312</v>
      </c>
      <c r="Z3" s="9" t="n">
        <v>45313</v>
      </c>
      <c r="AA3" s="9" t="n">
        <v>45314</v>
      </c>
      <c r="AB3" s="9" t="n">
        <v>45315</v>
      </c>
      <c r="AC3" s="9" t="n">
        <v>45316</v>
      </c>
      <c r="AD3" s="9" t="n">
        <v>45317</v>
      </c>
      <c r="AE3" s="9" t="n">
        <v>45318</v>
      </c>
      <c r="AF3" s="9" t="n">
        <v>45319</v>
      </c>
      <c r="AG3" s="9" t="n">
        <v>45320</v>
      </c>
      <c r="AH3" s="9" t="n">
        <v>45321</v>
      </c>
      <c r="AI3" s="9" t="n">
        <v>45322</v>
      </c>
      <c r="AJ3" s="4" t="n"/>
      <c r="AX3" s="775" t="n"/>
    </row>
    <row r="4" ht="15.75" customHeight="1" s="757">
      <c r="A4" s="10" t="inlineStr">
        <is>
          <t>GOOGLE MATINS</t>
        </is>
      </c>
      <c r="B4" s="11" t="n"/>
      <c r="C4" s="11" t="n"/>
      <c r="D4" s="12" t="n"/>
      <c r="E4" s="26" t="n"/>
      <c r="F4" s="85" t="n"/>
      <c r="G4" s="85" t="n"/>
      <c r="H4" s="85" t="n"/>
      <c r="I4" s="85" t="n"/>
      <c r="J4" s="26" t="n"/>
      <c r="K4" s="24" t="n"/>
      <c r="L4" s="163" t="n"/>
      <c r="N4" s="370" t="inlineStr">
        <is>
          <t>MF0975 RAFA</t>
        </is>
      </c>
      <c r="O4" s="518" t="n"/>
      <c r="P4" s="69" t="n"/>
      <c r="Q4" s="24" t="n"/>
      <c r="R4" s="24" t="n"/>
      <c r="S4" s="350" t="n"/>
      <c r="T4" s="69" t="n"/>
      <c r="U4" s="69" t="n"/>
      <c r="V4" s="69" t="n"/>
      <c r="W4" s="69" t="n"/>
      <c r="X4" s="24" t="n"/>
      <c r="Y4" s="24" t="n"/>
      <c r="Z4" s="350" t="n"/>
      <c r="AA4" s="69" t="n"/>
      <c r="AB4" s="69" t="n"/>
      <c r="AC4" s="69" t="n"/>
      <c r="AD4" s="69" t="n"/>
      <c r="AE4" s="24" t="n"/>
      <c r="AF4" s="24" t="n"/>
      <c r="AG4" s="370" t="inlineStr">
        <is>
          <t>MF0978 RAFA</t>
        </is>
      </c>
      <c r="AH4" s="69" t="n"/>
      <c r="AI4" s="69" t="n"/>
      <c r="AJ4" s="4" t="n"/>
      <c r="AK4" s="226" t="n">
        <v>17</v>
      </c>
      <c r="AL4" s="646" t="inlineStr">
        <is>
          <t>0208 CEN</t>
        </is>
      </c>
    </row>
    <row r="5" ht="16.5" customHeight="1" s="757" thickBot="1">
      <c r="A5" s="14" t="inlineStr">
        <is>
          <t>FIREFOX MATINS</t>
        </is>
      </c>
      <c r="B5" s="15" t="n"/>
      <c r="C5" s="15" t="n"/>
      <c r="D5" s="15" t="n"/>
      <c r="E5" s="27" t="n"/>
      <c r="F5" s="87" t="n"/>
      <c r="G5" s="87" t="n"/>
      <c r="H5" s="87" t="n"/>
      <c r="I5" s="87" t="n"/>
      <c r="J5" s="27" t="n"/>
      <c r="K5" s="35" t="n"/>
      <c r="L5" s="778" t="n"/>
      <c r="M5" s="173" t="n"/>
      <c r="N5" s="778" t="n"/>
      <c r="O5" s="778" t="n"/>
      <c r="P5" s="778" t="n"/>
      <c r="Q5" s="35" t="n"/>
      <c r="R5" s="35" t="n"/>
      <c r="S5" s="778" t="n"/>
      <c r="T5" s="176" t="n">
        <v>4</v>
      </c>
      <c r="U5" s="176" t="inlineStr">
        <is>
          <t>FENOY</t>
        </is>
      </c>
      <c r="V5" s="176" t="n"/>
      <c r="W5" s="176" t="n"/>
      <c r="X5" s="35" t="n"/>
      <c r="Y5" s="35" t="n"/>
      <c r="Z5" s="176" t="n"/>
      <c r="AA5" s="176" t="n"/>
      <c r="AB5" s="176" t="n"/>
      <c r="AC5" s="176" t="n"/>
      <c r="AD5" s="176" t="inlineStr">
        <is>
          <t>5 - FENOY</t>
        </is>
      </c>
      <c r="AE5" s="35" t="n"/>
      <c r="AF5" s="35" t="n"/>
      <c r="AG5" s="176" t="n"/>
      <c r="AH5" s="369" t="n"/>
      <c r="AI5" s="176" t="n"/>
      <c r="AJ5" s="4" t="n"/>
      <c r="AL5" s="665" t="inlineStr">
        <is>
          <t>4--FCOI13</t>
        </is>
      </c>
      <c r="AN5" s="775" t="n"/>
      <c r="AO5" s="667" t="inlineStr">
        <is>
          <t>5--FCOI21</t>
        </is>
      </c>
      <c r="AR5" s="668" t="n"/>
    </row>
    <row r="6" ht="15.75" customHeight="1" s="757" thickTop="1">
      <c r="A6" s="17" t="inlineStr">
        <is>
          <t>GOOGLE TARDA</t>
        </is>
      </c>
      <c r="B6" s="18" t="n"/>
      <c r="C6" s="18" t="n"/>
      <c r="D6" s="18" t="n"/>
      <c r="E6" s="28" t="n"/>
      <c r="F6" s="89" t="n"/>
      <c r="G6" s="89" t="n"/>
      <c r="H6" s="89" t="n"/>
      <c r="I6" s="89" t="n"/>
      <c r="J6" s="28" t="n"/>
      <c r="K6" s="39" t="n"/>
      <c r="L6" s="755" t="n"/>
      <c r="M6" s="755" t="n"/>
      <c r="N6" s="755" t="n"/>
      <c r="O6" s="755" t="n"/>
      <c r="P6" s="755" t="n"/>
      <c r="Q6" s="39" t="n"/>
      <c r="R6" s="39" t="n"/>
      <c r="S6" s="755" t="n"/>
      <c r="T6" s="755" t="n"/>
      <c r="U6" s="755" t="n"/>
      <c r="V6" s="755" t="n"/>
      <c r="W6" s="755" t="n"/>
      <c r="X6" s="39" t="n"/>
      <c r="Y6" s="39" t="n"/>
      <c r="Z6" s="755" t="n"/>
      <c r="AA6" s="755" t="n"/>
      <c r="AB6" s="755" t="n"/>
      <c r="AC6" s="613" t="inlineStr">
        <is>
          <t>FCOV05 ED1 - JÚLIA</t>
        </is>
      </c>
      <c r="AD6" s="230" t="n"/>
      <c r="AE6" s="24" t="n"/>
      <c r="AF6" s="24" t="n"/>
      <c r="AG6" s="230" t="n"/>
      <c r="AH6" s="230" t="n"/>
      <c r="AI6" s="230" t="n"/>
      <c r="AJ6" s="140" t="n"/>
      <c r="AK6" t="n">
        <v>13</v>
      </c>
      <c r="AL6" s="739" t="inlineStr">
        <is>
          <t>004-FCOV05 1A ED (5H)</t>
        </is>
      </c>
    </row>
    <row r="7" ht="18.75" customHeight="1" s="757">
      <c r="A7" s="10" t="inlineStr">
        <is>
          <t>FIREFOX TARDA</t>
        </is>
      </c>
      <c r="B7" s="11" t="n"/>
      <c r="C7" s="11" t="n"/>
      <c r="D7" s="12" t="n"/>
      <c r="E7" s="26" t="n"/>
      <c r="F7" s="85" t="n"/>
      <c r="G7" s="85" t="n"/>
      <c r="H7" s="85" t="n"/>
      <c r="I7" s="85" t="n"/>
      <c r="J7" s="26" t="n"/>
      <c r="K7" s="24" t="n"/>
      <c r="L7" s="756" t="n"/>
      <c r="M7" s="85" t="n"/>
      <c r="N7" s="85" t="n"/>
      <c r="O7" s="85" t="n"/>
      <c r="P7" s="85" t="n"/>
      <c r="Q7" s="24" t="n"/>
      <c r="R7" s="24" t="n"/>
      <c r="S7" s="33" t="n"/>
      <c r="T7" s="33" t="n"/>
      <c r="U7" s="756" t="n"/>
      <c r="V7" s="756" t="n"/>
      <c r="W7" s="756" t="n"/>
      <c r="X7" s="24" t="n"/>
      <c r="Y7" s="24" t="n"/>
      <c r="Z7" s="360" t="n"/>
      <c r="AA7" s="360" t="n"/>
      <c r="AB7" s="756" t="n"/>
      <c r="AC7" s="395" t="inlineStr">
        <is>
          <t>1 vam</t>
        </is>
      </c>
      <c r="AD7" s="756" t="n"/>
      <c r="AE7" s="24" t="n"/>
      <c r="AF7" s="24" t="n"/>
      <c r="AG7" s="33" t="inlineStr">
        <is>
          <t>1-CRR</t>
        </is>
      </c>
      <c r="AH7" s="33" t="n"/>
      <c r="AI7" s="274" t="n"/>
      <c r="AJ7" s="140" t="n"/>
      <c r="AL7" s="662" t="inlineStr">
        <is>
          <t>RECICLATGE PRIMERS AUXILIS</t>
        </is>
      </c>
      <c r="AS7" s="116" t="inlineStr">
        <is>
          <t>1-OPERACIÓ CARRETONS</t>
        </is>
      </c>
      <c r="AT7" s="116" t="n"/>
      <c r="AU7" s="116" t="n"/>
      <c r="AV7" s="116" t="n"/>
      <c r="AW7" s="116" t="n"/>
      <c r="AY7" s="394" t="inlineStr">
        <is>
          <t>1 VAM</t>
        </is>
      </c>
      <c r="BA7" s="360" t="n"/>
      <c r="BB7" s="360" t="n"/>
      <c r="BC7" s="775" t="n"/>
    </row>
    <row r="8" ht="15.75" customHeight="1" s="757">
      <c r="A8" s="10" t="inlineStr">
        <is>
          <t>TARRAGONA mati</t>
        </is>
      </c>
      <c r="B8" s="11" t="n"/>
      <c r="C8" s="11" t="n"/>
      <c r="D8" s="12" t="n"/>
      <c r="E8" s="26" t="n"/>
      <c r="F8" s="85" t="n"/>
      <c r="G8" s="85" t="n"/>
      <c r="H8" s="85" t="n"/>
      <c r="I8" s="85" t="n"/>
      <c r="J8" s="26" t="n"/>
      <c r="K8" s="24" t="n"/>
      <c r="L8" s="756" t="n"/>
      <c r="M8" s="85" t="n"/>
      <c r="N8" s="85" t="n"/>
      <c r="O8" s="85" t="n"/>
      <c r="P8" s="85" t="n"/>
      <c r="Q8" s="24" t="n"/>
      <c r="R8" s="24" t="n"/>
      <c r="S8" s="756" t="n"/>
      <c r="T8" s="85" t="n"/>
      <c r="U8" s="85" t="n"/>
      <c r="V8" s="85" t="n"/>
      <c r="W8" s="85" t="n"/>
      <c r="X8" s="24" t="n"/>
      <c r="Y8" s="24" t="n"/>
      <c r="Z8" s="756" t="n"/>
      <c r="AA8" s="756" t="n"/>
      <c r="AB8" s="756" t="n"/>
      <c r="AC8" s="756" t="n"/>
      <c r="AD8" s="756" t="n"/>
      <c r="AE8" s="24" t="n"/>
      <c r="AF8" s="24" t="n"/>
      <c r="AG8" s="756" t="n"/>
      <c r="AH8" s="756" t="n"/>
      <c r="AI8" s="756" t="n"/>
      <c r="AJ8" s="4" t="n"/>
    </row>
    <row r="9" ht="15.75" customHeight="1" s="757">
      <c r="A9" s="10" t="inlineStr">
        <is>
          <t>TARRAGONA tarda</t>
        </is>
      </c>
      <c r="B9" s="11" t="n"/>
      <c r="C9" s="11" t="n"/>
      <c r="D9" s="12" t="n"/>
      <c r="E9" s="26" t="n"/>
      <c r="F9" s="85" t="n"/>
      <c r="G9" s="85" t="n"/>
      <c r="H9" s="85" t="n"/>
      <c r="I9" s="85" t="n"/>
      <c r="J9" s="26" t="n"/>
      <c r="K9" s="24" t="n"/>
      <c r="L9" s="756" t="n"/>
      <c r="M9" s="85" t="n"/>
      <c r="N9" s="85" t="n"/>
      <c r="O9" s="85" t="n"/>
      <c r="P9" s="85" t="n"/>
      <c r="Q9" s="24" t="n"/>
      <c r="R9" s="24" t="n"/>
      <c r="S9" s="545" t="inlineStr">
        <is>
          <t>1-PERE</t>
        </is>
      </c>
      <c r="T9" s="33" t="n"/>
      <c r="U9" s="33" t="n"/>
      <c r="V9" s="33" t="n"/>
      <c r="W9" s="33" t="n"/>
      <c r="X9" s="24" t="n"/>
      <c r="Y9" s="24" t="n"/>
      <c r="Z9" s="33" t="n"/>
      <c r="AA9" s="33" t="n"/>
      <c r="AB9" s="33" t="n"/>
      <c r="AC9" s="33" t="n"/>
      <c r="AD9" s="33" t="n"/>
      <c r="AE9" s="24" t="n"/>
      <c r="AF9" s="24" t="n"/>
      <c r="AG9" s="756" t="n"/>
      <c r="AH9" s="756" t="n"/>
      <c r="AI9" s="756" t="n"/>
      <c r="AJ9" s="4" t="n"/>
      <c r="AL9" s="662" t="inlineStr">
        <is>
          <t>1-ACTIC- NIVELL INTERMEDI</t>
        </is>
      </c>
      <c r="AR9" s="657" t="n"/>
    </row>
    <row r="10" ht="19.5" customFormat="1" customHeight="1" s="4" thickBot="1">
      <c r="A10" s="788" t="inlineStr">
        <is>
          <t>FEBRER</t>
        </is>
      </c>
      <c r="B10" s="156" t="n"/>
      <c r="C10" s="156" t="n"/>
      <c r="D10" s="156" t="n"/>
      <c r="E10" s="156" t="n"/>
      <c r="F10" s="156" t="n"/>
      <c r="G10" s="156" t="n"/>
      <c r="H10" s="156" t="n"/>
      <c r="I10" s="156" t="n"/>
      <c r="J10" s="156" t="n"/>
      <c r="K10" s="156" t="n"/>
      <c r="L10" s="156" t="n"/>
      <c r="M10" s="156" t="n"/>
      <c r="N10" s="156" t="n"/>
      <c r="O10" s="156" t="n"/>
      <c r="P10" s="156" t="n"/>
      <c r="Q10" s="156" t="n"/>
      <c r="R10" s="156" t="n"/>
      <c r="S10" s="156" t="n"/>
      <c r="T10" s="156" t="n"/>
      <c r="U10" s="156" t="n"/>
      <c r="V10" s="156" t="n"/>
      <c r="W10" s="156" t="n"/>
      <c r="X10" s="156" t="n"/>
      <c r="Y10" s="156" t="n"/>
      <c r="Z10" s="156" t="n"/>
      <c r="AA10" s="156" t="n"/>
      <c r="AB10" s="156" t="n"/>
      <c r="AC10" s="156" t="n"/>
      <c r="AD10" s="156" t="n"/>
      <c r="AE10" s="156" t="n"/>
      <c r="AF10" s="156" t="n"/>
      <c r="AG10" s="156" t="n"/>
      <c r="AH10" s="156" t="n"/>
      <c r="AI10" s="142" t="n"/>
      <c r="AJ10" s="524" t="n">
        <v>21</v>
      </c>
      <c r="AK10">
        <f>22+21</f>
        <v/>
      </c>
    </row>
    <row r="11" ht="66" customFormat="1" customHeight="1" s="5">
      <c r="A11" s="7" t="inlineStr">
        <is>
          <t>AULA</t>
        </is>
      </c>
      <c r="B11" s="8" t="inlineStr">
        <is>
          <t>INICI</t>
        </is>
      </c>
      <c r="C11" s="8" t="inlineStr">
        <is>
          <t>FINAL</t>
        </is>
      </c>
      <c r="D11" s="8" t="inlineStr">
        <is>
          <t>AULA</t>
        </is>
      </c>
      <c r="E11" s="9" t="n">
        <v>45323</v>
      </c>
      <c r="F11" s="9" t="n">
        <v>45324</v>
      </c>
      <c r="G11" s="9" t="n">
        <v>45325</v>
      </c>
      <c r="H11" s="9" t="n">
        <v>45326</v>
      </c>
      <c r="I11" s="9" t="n">
        <v>45327</v>
      </c>
      <c r="J11" s="9" t="n">
        <v>45328</v>
      </c>
      <c r="K11" s="9" t="n">
        <v>45329</v>
      </c>
      <c r="L11" s="9" t="n">
        <v>45330</v>
      </c>
      <c r="M11" s="9" t="n">
        <v>45331</v>
      </c>
      <c r="N11" s="9" t="n">
        <v>45332</v>
      </c>
      <c r="O11" s="9" t="n">
        <v>45333</v>
      </c>
      <c r="P11" s="9" t="n">
        <v>45334</v>
      </c>
      <c r="Q11" s="171" t="n">
        <v>45335</v>
      </c>
      <c r="R11" s="9" t="n">
        <v>45336</v>
      </c>
      <c r="S11" s="9" t="n">
        <v>45337</v>
      </c>
      <c r="T11" s="9" t="n">
        <v>45338</v>
      </c>
      <c r="U11" s="9" t="n">
        <v>45339</v>
      </c>
      <c r="V11" s="9" t="n">
        <v>45340</v>
      </c>
      <c r="W11" s="9" t="n">
        <v>45341</v>
      </c>
      <c r="X11" s="9" t="n">
        <v>45342</v>
      </c>
      <c r="Y11" s="411" t="n">
        <v>45343</v>
      </c>
      <c r="Z11" s="9" t="n">
        <v>45344</v>
      </c>
      <c r="AA11" s="9" t="n">
        <v>45345</v>
      </c>
      <c r="AB11" s="9" t="n">
        <v>45346</v>
      </c>
      <c r="AC11" s="9" t="n">
        <v>45347</v>
      </c>
      <c r="AD11" s="9" t="n">
        <v>45348</v>
      </c>
      <c r="AE11" s="9" t="n">
        <v>45349</v>
      </c>
      <c r="AF11" s="9" t="n">
        <v>45350</v>
      </c>
      <c r="AG11" s="9" t="n">
        <v>45351</v>
      </c>
      <c r="AH11" s="9" t="n"/>
      <c r="AI11" s="9" t="n"/>
      <c r="AJ11" s="4" t="n"/>
    </row>
    <row r="12" ht="15.75" customHeight="1" s="757">
      <c r="A12" s="10" t="inlineStr">
        <is>
          <t>GOOGLE MATINS</t>
        </is>
      </c>
      <c r="B12" s="11" t="n"/>
      <c r="C12" s="11" t="n"/>
      <c r="D12" s="12" t="n"/>
      <c r="E12" s="518" t="n"/>
      <c r="F12" s="69" t="n"/>
      <c r="G12" s="24" t="n"/>
      <c r="H12" s="24" t="n"/>
      <c r="I12" s="69" t="n"/>
      <c r="J12" s="69" t="n"/>
      <c r="K12" s="69" t="n"/>
      <c r="L12" s="69" t="n"/>
      <c r="M12" s="69" t="n"/>
      <c r="N12" s="24" t="n"/>
      <c r="O12" s="24" t="n"/>
      <c r="P12" s="370" t="inlineStr">
        <is>
          <t>MF976 RAFA</t>
        </is>
      </c>
      <c r="Q12" s="69" t="n"/>
      <c r="R12" s="361" t="n"/>
      <c r="S12" s="518" t="inlineStr">
        <is>
          <t>mon</t>
        </is>
      </c>
      <c r="T12" s="74" t="n"/>
      <c r="U12" s="24" t="n"/>
      <c r="V12" s="24" t="n"/>
      <c r="W12" t="inlineStr">
        <is>
          <t>mon</t>
        </is>
      </c>
      <c r="X12" s="74" t="inlineStr">
        <is>
          <t>UF0350</t>
        </is>
      </c>
      <c r="Y12" s="387" t="inlineStr">
        <is>
          <t>mon</t>
        </is>
      </c>
      <c r="Z12" s="351" t="n"/>
      <c r="AA12" s="69" t="n"/>
      <c r="AB12" s="24" t="n"/>
      <c r="AC12" s="24" t="n"/>
      <c r="AD12" s="352" t="inlineStr">
        <is>
          <t>mon</t>
        </is>
      </c>
      <c r="AE12" s="361" t="n"/>
      <c r="AF12" s="69" t="n"/>
      <c r="AG12" s="69" t="n"/>
      <c r="AH12" s="756" t="n"/>
      <c r="AI12" s="756" t="n"/>
      <c r="AJ12" s="4" t="n"/>
      <c r="AK12" s="226">
        <f>AK4+AJ10</f>
        <v/>
      </c>
      <c r="AL12" s="646" t="inlineStr">
        <is>
          <t>0208 CEN</t>
        </is>
      </c>
    </row>
    <row r="13" ht="16.5" customHeight="1" s="757" thickBot="1">
      <c r="A13" s="14" t="inlineStr">
        <is>
          <t>FIREFOX MATINS</t>
        </is>
      </c>
      <c r="B13" s="15" t="n"/>
      <c r="C13" s="15" t="n"/>
      <c r="D13" s="15" t="n"/>
      <c r="E13" s="176" t="n">
        <v>5</v>
      </c>
      <c r="F13" s="176" t="n"/>
      <c r="G13" s="35" t="n"/>
      <c r="H13" s="35" t="n"/>
      <c r="I13" s="176" t="n"/>
      <c r="J13" s="176" t="n"/>
      <c r="K13" s="176" t="n"/>
      <c r="L13" s="176" t="n"/>
      <c r="M13" s="778" t="n"/>
      <c r="N13" s="35" t="n"/>
      <c r="O13" s="35" t="n"/>
      <c r="P13" s="778" t="n"/>
      <c r="Q13" s="173" t="n"/>
      <c r="R13" s="778" t="n"/>
      <c r="S13" s="778" t="n"/>
      <c r="T13" s="778" t="n"/>
      <c r="U13" s="35" t="n"/>
      <c r="V13" s="35" t="n"/>
      <c r="W13" s="395" t="inlineStr">
        <is>
          <t>2 vam</t>
        </is>
      </c>
      <c r="X13" s="176" t="n">
        <v>7</v>
      </c>
      <c r="Y13" s="369" t="inlineStr">
        <is>
          <t>MARIA MATEU</t>
        </is>
      </c>
      <c r="Z13" s="176" t="n"/>
      <c r="AA13" s="176" t="n"/>
      <c r="AB13" s="35" t="n"/>
      <c r="AC13" s="35" t="n"/>
      <c r="AD13" s="176" t="n"/>
      <c r="AE13" s="176" t="n"/>
      <c r="AF13" s="176" t="n"/>
      <c r="AG13" s="176" t="n"/>
      <c r="AH13" s="778" t="n"/>
      <c r="AI13" s="778" t="n"/>
      <c r="AJ13" s="4" t="n"/>
      <c r="AL13" s="665" t="inlineStr">
        <is>
          <t>5--FCOI21</t>
        </is>
      </c>
      <c r="AP13" s="664" t="inlineStr">
        <is>
          <t>7- ADGG_ITI01 ED. TEXTOS(5H)</t>
        </is>
      </c>
      <c r="AX13" s="394" t="inlineStr">
        <is>
          <t>2 VAM</t>
        </is>
      </c>
    </row>
    <row r="14" ht="16.5" customHeight="1" s="757" thickTop="1">
      <c r="A14" s="17" t="inlineStr">
        <is>
          <t>GOOGLE TARDA</t>
        </is>
      </c>
      <c r="B14" s="18" t="n"/>
      <c r="C14" s="18" t="n"/>
      <c r="D14" s="18" t="n"/>
      <c r="E14" s="230" t="n"/>
      <c r="F14" s="230" t="n"/>
      <c r="G14" s="39" t="n"/>
      <c r="H14" s="39" t="n"/>
      <c r="I14" s="230" t="n"/>
      <c r="J14" s="230" t="n"/>
      <c r="K14" s="230" t="n"/>
      <c r="L14" s="230" t="n"/>
      <c r="M14" s="230" t="n"/>
      <c r="N14" s="39" t="n"/>
      <c r="O14" s="39" t="n"/>
      <c r="P14" s="417" t="inlineStr">
        <is>
          <t>ORIE</t>
        </is>
      </c>
      <c r="Q14" s="230" t="n"/>
      <c r="R14" s="230" t="n"/>
      <c r="S14" s="230" t="n"/>
      <c r="T14" s="230" t="n"/>
      <c r="U14" s="39" t="n"/>
      <c r="V14" s="39" t="n"/>
      <c r="W14" s="230" t="n"/>
      <c r="X14" s="230" t="n"/>
      <c r="Y14" s="230" t="n"/>
      <c r="Z14" s="230" t="n"/>
      <c r="AA14" s="230" t="n"/>
      <c r="AB14" s="39" t="n"/>
      <c r="AC14" s="39" t="n"/>
      <c r="AD14" s="230" t="n"/>
      <c r="AE14" s="230" t="n"/>
      <c r="AF14" s="230" t="n"/>
      <c r="AG14" s="230" t="n"/>
      <c r="AH14" s="755" t="n"/>
      <c r="AI14" s="755" t="n"/>
      <c r="AJ14" s="140" t="n"/>
      <c r="AK14">
        <f>AK6+AJ10</f>
        <v/>
      </c>
      <c r="AL14" s="739" t="inlineStr">
        <is>
          <t>004-FCOV05 1A ED (5H)- ANGLÈS</t>
        </is>
      </c>
    </row>
    <row r="15" ht="18.75" customHeight="1" s="757">
      <c r="A15" s="10" t="inlineStr">
        <is>
          <t>FIREFOX TARDA</t>
        </is>
      </c>
      <c r="B15" s="11" t="n"/>
      <c r="C15" s="11" t="n"/>
      <c r="D15" s="12" t="n"/>
      <c r="E15" s="274" t="n">
        <v>1</v>
      </c>
      <c r="F15" s="33" t="n"/>
      <c r="G15" s="24" t="n"/>
      <c r="H15" s="24" t="n"/>
      <c r="I15" s="360" t="n"/>
      <c r="J15" s="360" t="n"/>
      <c r="K15" s="756" t="n"/>
      <c r="L15" s="756" t="n"/>
      <c r="M15" s="756" t="n"/>
      <c r="N15" s="24" t="n"/>
      <c r="O15" s="24" t="n"/>
      <c r="Q15" s="23" t="n">
        <v>6</v>
      </c>
      <c r="R15" s="56" t="inlineStr">
        <is>
          <t>PERE</t>
        </is>
      </c>
      <c r="S15" s="23" t="n"/>
      <c r="T15" s="23" t="n"/>
      <c r="U15" s="24" t="n"/>
      <c r="V15" s="24" t="n"/>
      <c r="W15" s="23" t="n"/>
      <c r="X15" s="23" t="n"/>
      <c r="Y15" s="23" t="n"/>
      <c r="Z15" s="23" t="n"/>
      <c r="AA15" s="23" t="n"/>
      <c r="AB15" s="24" t="n"/>
      <c r="AC15" s="24" t="n"/>
      <c r="AD15" s="360" t="n"/>
      <c r="AE15" s="360" t="n"/>
      <c r="AF15" s="756" t="n"/>
      <c r="AG15" s="756" t="n"/>
      <c r="AH15" s="756" t="n"/>
      <c r="AI15" s="756" t="n"/>
      <c r="AJ15" s="4" t="n"/>
      <c r="AL15" s="56" t="inlineStr">
        <is>
          <t>6- FCOI27 - EXCEL BASIC 1ºED)</t>
        </is>
      </c>
      <c r="AM15" s="56" t="n"/>
      <c r="AN15" s="56" t="n"/>
      <c r="AO15" s="56" t="n"/>
      <c r="AP15" s="56" t="n"/>
      <c r="AS15" s="116" t="inlineStr">
        <is>
          <t>1-OPERACIÓ CARRETONS</t>
        </is>
      </c>
      <c r="AT15" s="116" t="n"/>
      <c r="AU15" s="116" t="n"/>
      <c r="AV15" s="116" t="n"/>
      <c r="AW15" s="116" t="n"/>
      <c r="AY15" s="397" t="n"/>
      <c r="AZ15" s="397" t="n"/>
      <c r="BA15" s="775" t="n"/>
    </row>
    <row r="16" ht="15.75" customHeight="1" s="757">
      <c r="A16" s="10" t="inlineStr">
        <is>
          <t>TARRAGONA mati</t>
        </is>
      </c>
      <c r="B16" s="11" t="n"/>
      <c r="C16" s="11" t="n"/>
      <c r="D16" s="12" t="n"/>
      <c r="E16" s="756" t="n"/>
      <c r="F16" s="756" t="n"/>
      <c r="G16" s="24" t="n"/>
      <c r="H16" s="24" t="n"/>
      <c r="I16" s="756" t="n"/>
      <c r="J16" s="756" t="n"/>
      <c r="K16" s="756" t="n"/>
      <c r="L16" s="756" t="n"/>
      <c r="M16" s="756" t="n"/>
      <c r="N16" s="24" t="n"/>
      <c r="O16" s="24" t="n"/>
      <c r="P16" s="756" t="n"/>
      <c r="R16" s="756" t="n"/>
      <c r="S16" s="566" t="inlineStr">
        <is>
          <t>RAF</t>
        </is>
      </c>
      <c r="T16" s="756" t="n"/>
      <c r="U16" s="24" t="n"/>
      <c r="V16" s="24" t="n"/>
      <c r="W16" s="756" t="n"/>
      <c r="X16" s="756" t="n"/>
      <c r="Z16" s="566" t="inlineStr">
        <is>
          <t>RAF</t>
        </is>
      </c>
      <c r="AA16" s="756" t="n"/>
      <c r="AB16" s="24" t="n"/>
      <c r="AC16" s="24" t="n"/>
      <c r="AD16" s="566" t="inlineStr">
        <is>
          <t>RAF</t>
        </is>
      </c>
      <c r="AE16" s="756" t="n"/>
      <c r="AF16" s="756" t="n"/>
      <c r="AG16" s="756" t="n"/>
      <c r="AH16" s="756" t="n"/>
      <c r="AI16" s="756" t="n"/>
      <c r="AJ16" s="4" t="n"/>
      <c r="AL16" s="422" t="inlineStr">
        <is>
          <t>EAPC - EXCEL INTERMEDI</t>
        </is>
      </c>
      <c r="AM16" s="422" t="n"/>
      <c r="AN16" s="422" t="n"/>
      <c r="AO16" s="422" t="n"/>
    </row>
    <row r="17" ht="15.75" customHeight="1" s="757">
      <c r="A17" s="10" t="inlineStr">
        <is>
          <t>TARRAGONA tarda</t>
        </is>
      </c>
      <c r="B17" s="11" t="n"/>
      <c r="C17" s="11" t="n"/>
      <c r="D17" s="12" t="n"/>
      <c r="E17" s="756" t="n"/>
      <c r="F17" s="756" t="n"/>
      <c r="G17" s="24" t="n"/>
      <c r="H17" s="24" t="n"/>
      <c r="I17" s="365" t="n"/>
      <c r="J17" s="756" t="n"/>
      <c r="K17" s="756" t="n"/>
      <c r="L17" s="756" t="n"/>
      <c r="M17" s="756" t="n"/>
      <c r="N17" s="24" t="n"/>
      <c r="O17" s="24" t="n"/>
      <c r="P17" s="756" t="n"/>
      <c r="Q17" s="283" t="n"/>
      <c r="R17" s="756" t="n"/>
      <c r="S17" s="756" t="n"/>
      <c r="T17" s="756" t="n"/>
      <c r="U17" s="24" t="n"/>
      <c r="V17" s="24" t="n"/>
      <c r="W17" s="756" t="n"/>
      <c r="X17" s="756" t="n"/>
      <c r="Y17" s="756" t="n"/>
      <c r="Z17" s="756" t="n"/>
      <c r="AA17" s="756" t="n"/>
      <c r="AB17" s="24" t="n"/>
      <c r="AC17" s="24" t="n"/>
      <c r="AD17" s="530" t="n"/>
      <c r="AE17" s="756" t="n"/>
      <c r="AF17" s="756" t="n"/>
      <c r="AG17" s="756" t="n"/>
      <c r="AH17" s="756" t="n"/>
      <c r="AI17" s="85" t="n"/>
      <c r="AJ17" s="4" t="n"/>
      <c r="AL17" s="548" t="inlineStr">
        <is>
          <t>EXAMEN ACTIC CURS FCOI25 PERE TRG.</t>
        </is>
      </c>
      <c r="AM17" s="421" t="n"/>
      <c r="AN17" s="421" t="n"/>
      <c r="AO17" s="421" t="n"/>
      <c r="AP17" s="421" t="n"/>
      <c r="AQ17" s="421" t="n"/>
      <c r="AR17" s="366" t="n"/>
    </row>
    <row r="18" ht="23.25" customFormat="1" customHeight="1" s="4" thickBot="1">
      <c r="A18" s="788" t="inlineStr">
        <is>
          <t>MARÇ</t>
        </is>
      </c>
      <c r="B18" s="156" t="n"/>
      <c r="C18" s="156" t="n"/>
      <c r="D18" s="156" t="n"/>
      <c r="E18" s="156" t="n"/>
      <c r="F18" s="156" t="n"/>
      <c r="G18" s="156" t="n"/>
      <c r="H18" s="156" t="n"/>
      <c r="I18" s="156" t="n"/>
      <c r="J18" s="156" t="n"/>
      <c r="K18" s="156" t="n"/>
      <c r="L18" s="156" t="n"/>
      <c r="M18" s="156" t="n"/>
      <c r="N18" s="156" t="n"/>
      <c r="O18" s="156" t="n"/>
      <c r="P18" s="156" t="n"/>
      <c r="Q18" s="156" t="n"/>
      <c r="R18" s="156" t="n"/>
      <c r="S18" s="156" t="n"/>
      <c r="T18" s="156" t="n"/>
      <c r="U18" s="156" t="n"/>
      <c r="V18" s="156" t="n"/>
      <c r="W18" s="156" t="n"/>
      <c r="X18" s="156" t="n"/>
      <c r="Y18" s="156" t="n"/>
      <c r="Z18" s="156" t="n"/>
      <c r="AA18" s="156" t="n"/>
      <c r="AB18" s="156" t="n"/>
      <c r="AC18" s="156" t="n"/>
      <c r="AD18" s="156" t="n"/>
      <c r="AE18" s="156" t="n"/>
      <c r="AF18" s="156" t="n"/>
      <c r="AG18" s="156" t="n"/>
      <c r="AH18" s="156" t="n"/>
      <c r="AI18" s="142" t="n"/>
      <c r="AJ18" s="524" t="n">
        <v>20</v>
      </c>
      <c r="AK18">
        <f>AK10+20</f>
        <v/>
      </c>
      <c r="AL18" s="775" t="n"/>
    </row>
    <row r="19" ht="67.5" customFormat="1" customHeight="1" s="5">
      <c r="A19" s="7" t="inlineStr">
        <is>
          <t>AULA</t>
        </is>
      </c>
      <c r="B19" s="8" t="inlineStr">
        <is>
          <t>INICI</t>
        </is>
      </c>
      <c r="C19" s="8" t="inlineStr">
        <is>
          <t>FINAL</t>
        </is>
      </c>
      <c r="D19" s="8" t="inlineStr">
        <is>
          <t>AULA</t>
        </is>
      </c>
      <c r="E19" s="9" t="n">
        <v>45352</v>
      </c>
      <c r="F19" s="9" t="n">
        <v>45353</v>
      </c>
      <c r="G19" s="9" t="n">
        <v>45354</v>
      </c>
      <c r="H19" s="9" t="n">
        <v>45355</v>
      </c>
      <c r="I19" s="411" t="n">
        <v>45356</v>
      </c>
      <c r="J19" s="411" t="n">
        <v>45357</v>
      </c>
      <c r="K19" s="9" t="n">
        <v>45358</v>
      </c>
      <c r="L19" s="9" t="n">
        <v>45359</v>
      </c>
      <c r="M19" s="9" t="n">
        <v>45360</v>
      </c>
      <c r="N19" s="9" t="n">
        <v>45361</v>
      </c>
      <c r="O19" s="9" t="n">
        <v>45362</v>
      </c>
      <c r="P19" s="9" t="n">
        <v>45363</v>
      </c>
      <c r="Q19" s="9" t="n">
        <v>45364</v>
      </c>
      <c r="R19" s="9" t="n">
        <v>45365</v>
      </c>
      <c r="S19" s="9" t="n">
        <v>45366</v>
      </c>
      <c r="T19" s="9" t="n">
        <v>45367</v>
      </c>
      <c r="U19" s="9" t="n">
        <v>45368</v>
      </c>
      <c r="V19" s="9" t="n">
        <v>45369</v>
      </c>
      <c r="W19" s="9" t="n">
        <v>45370</v>
      </c>
      <c r="X19" s="9" t="n">
        <v>45371</v>
      </c>
      <c r="Y19" s="9" t="n">
        <v>45372</v>
      </c>
      <c r="Z19" s="9" t="n">
        <v>45373</v>
      </c>
      <c r="AA19" s="9" t="n">
        <v>45374</v>
      </c>
      <c r="AB19" s="9" t="n">
        <v>45375</v>
      </c>
      <c r="AC19" s="9" t="n">
        <v>45376</v>
      </c>
      <c r="AD19" s="9" t="n">
        <v>45377</v>
      </c>
      <c r="AE19" s="9" t="n">
        <v>45378</v>
      </c>
      <c r="AF19" s="9" t="n">
        <v>45379</v>
      </c>
      <c r="AG19" s="9" t="n">
        <v>45380</v>
      </c>
      <c r="AH19" s="9" t="n">
        <v>45381</v>
      </c>
      <c r="AI19" s="9" t="n">
        <v>45382</v>
      </c>
      <c r="AJ19" s="4" t="n"/>
      <c r="AL19" s="681" t="inlineStr">
        <is>
          <t>AUDITORIA ISO</t>
        </is>
      </c>
    </row>
    <row r="20" ht="15.75" customHeight="1" s="757">
      <c r="A20" s="10" t="inlineStr">
        <is>
          <t>GOOGLE MATINS</t>
        </is>
      </c>
      <c r="B20" s="11" t="n"/>
      <c r="C20" s="11" t="n"/>
      <c r="D20" s="12" t="n"/>
      <c r="E20" s="353" t="n"/>
      <c r="F20" s="119" t="n"/>
      <c r="G20" s="119" t="n"/>
      <c r="H20" s="394" t="inlineStr">
        <is>
          <t>SUBS</t>
        </is>
      </c>
      <c r="I20" s="354" t="n"/>
      <c r="J20" s="405" t="inlineStr">
        <is>
          <t>SUBS</t>
        </is>
      </c>
      <c r="K20" s="74" t="inlineStr">
        <is>
          <t>UF0350</t>
        </is>
      </c>
      <c r="L20" s="354" t="n"/>
      <c r="M20" s="119" t="n"/>
      <c r="N20" s="119" t="n"/>
      <c r="O20" s="614" t="n"/>
      <c r="P20" s="357" t="n"/>
      <c r="Q20" s="354" t="n"/>
      <c r="R20" s="353" t="n"/>
      <c r="S20" s="353" t="inlineStr">
        <is>
          <t>OR</t>
        </is>
      </c>
      <c r="T20" s="119" t="n"/>
      <c r="U20" s="119" t="n"/>
      <c r="V20" s="418" t="inlineStr">
        <is>
          <t>MF0977_2 ANGLES</t>
        </is>
      </c>
      <c r="W20" s="371" t="n"/>
      <c r="X20" s="354" t="n"/>
      <c r="Y20" s="354" t="n"/>
      <c r="Z20" s="354" t="n"/>
      <c r="AA20" s="119" t="n"/>
      <c r="AB20" s="119" t="n"/>
      <c r="AC20" s="350" t="n"/>
      <c r="AD20" s="349" t="n"/>
      <c r="AE20" s="354" t="n"/>
      <c r="AF20" s="354" t="n"/>
      <c r="AG20" s="218" t="n"/>
      <c r="AH20" s="119" t="n"/>
      <c r="AI20" s="119" t="n"/>
      <c r="AJ20" s="4" t="n"/>
      <c r="AK20" s="226">
        <f>AK12+AJ18</f>
        <v/>
      </c>
      <c r="AL20" s="646" t="inlineStr">
        <is>
          <t>0208 CEN</t>
        </is>
      </c>
    </row>
    <row r="21" ht="16.5" customHeight="1" s="757" thickBot="1">
      <c r="A21" s="14" t="inlineStr">
        <is>
          <t>FIREFOX MATINS</t>
        </is>
      </c>
      <c r="B21" s="15" t="n"/>
      <c r="C21" s="15" t="n"/>
      <c r="D21" s="15" t="n"/>
      <c r="E21" s="56" t="inlineStr">
        <is>
          <t>8 - MARIA MATEU</t>
        </is>
      </c>
      <c r="F21" s="35" t="n"/>
      <c r="G21" s="35" t="n"/>
      <c r="H21" s="176" t="n"/>
      <c r="I21" s="176" t="n"/>
      <c r="J21" s="176" t="n"/>
      <c r="K21" s="176" t="n"/>
      <c r="L21" s="176" t="n"/>
      <c r="M21" s="35" t="n"/>
      <c r="N21" s="35" t="n"/>
      <c r="O21" s="176" t="n"/>
      <c r="P21" s="176" t="n"/>
      <c r="Q21" s="176" t="n"/>
      <c r="R21" s="176" t="n"/>
      <c r="S21" s="396" t="inlineStr">
        <is>
          <t>3vam</t>
        </is>
      </c>
      <c r="T21" s="35" t="n"/>
      <c r="U21" s="35" t="n"/>
      <c r="V21" s="415" t="inlineStr">
        <is>
          <t>3vam</t>
        </is>
      </c>
      <c r="W21" s="782" t="n"/>
      <c r="X21" s="414" t="n"/>
      <c r="Y21" s="782" t="n"/>
      <c r="Z21" s="782" t="n"/>
      <c r="AA21" s="35" t="n"/>
      <c r="AB21" s="35" t="n"/>
      <c r="AC21" s="782" t="n"/>
      <c r="AD21" s="176" t="n">
        <v>10</v>
      </c>
      <c r="AE21" s="176" t="inlineStr">
        <is>
          <t>MARIA</t>
        </is>
      </c>
      <c r="AF21" s="176" t="n"/>
      <c r="AG21" s="27" t="n"/>
      <c r="AH21" s="35" t="n"/>
      <c r="AI21" s="35" t="n"/>
      <c r="AJ21" s="4" t="n"/>
      <c r="AL21" s="664" t="inlineStr">
        <is>
          <t>8 FCOI14 - CV</t>
        </is>
      </c>
      <c r="AO21" s="664" t="inlineStr">
        <is>
          <t>10-IFCM_IT02 (5H)</t>
        </is>
      </c>
      <c r="AU21" s="394" t="inlineStr">
        <is>
          <t>3 VAM</t>
        </is>
      </c>
    </row>
    <row r="22" ht="21.75" customHeight="1" s="757" thickTop="1">
      <c r="A22" s="17" t="inlineStr">
        <is>
          <t>GOOGLE TARDA</t>
        </is>
      </c>
      <c r="B22" s="18" t="n"/>
      <c r="C22" s="18" t="n"/>
      <c r="D22" s="18" t="n"/>
      <c r="E22" s="230" t="n"/>
      <c r="F22" s="39" t="n"/>
      <c r="G22" s="39" t="n"/>
      <c r="H22" s="230" t="n"/>
      <c r="I22" s="230" t="n"/>
      <c r="J22" s="230" t="n"/>
      <c r="K22" s="230" t="n"/>
      <c r="L22" s="230" t="n"/>
      <c r="M22" s="39" t="n"/>
      <c r="N22" s="39" t="n"/>
      <c r="O22" s="230" t="n"/>
      <c r="P22" s="230" t="n"/>
      <c r="Q22" s="230" t="n"/>
      <c r="R22" s="230" t="n"/>
      <c r="S22" s="420" t="inlineStr">
        <is>
          <t>FC0003</t>
        </is>
      </c>
      <c r="T22" s="39" t="n"/>
      <c r="U22" s="392" t="n"/>
      <c r="V22" s="413" t="inlineStr">
        <is>
          <t>FC0003</t>
        </is>
      </c>
      <c r="W22" s="615" t="inlineStr">
        <is>
          <t>FCOS02 - PABLO</t>
        </is>
      </c>
      <c r="X22" s="615" t="n"/>
      <c r="Y22" s="615" t="n"/>
      <c r="Z22" s="615" t="n"/>
      <c r="AA22" s="393" t="n"/>
      <c r="AB22" s="392" t="n"/>
      <c r="AC22" s="223" t="n"/>
      <c r="AD22" s="416" t="n"/>
      <c r="AE22" s="755" t="n"/>
      <c r="AF22" s="755" t="n"/>
      <c r="AG22" s="28" t="n"/>
      <c r="AH22" s="39" t="n"/>
      <c r="AI22" s="39" t="n"/>
      <c r="AJ22" s="140" t="n"/>
      <c r="AK22" s="268">
        <f>AK14+2</f>
        <v/>
      </c>
      <c r="AL22" s="739" t="inlineStr">
        <is>
          <t>004-FCOV05 1A ED (5H)</t>
        </is>
      </c>
      <c r="AP22" s="942" t="inlineStr">
        <is>
          <t>019+020 FCO</t>
        </is>
      </c>
      <c r="AQ22" s="942" t="n"/>
      <c r="AR22" s="943" t="n"/>
    </row>
    <row r="23" ht="15.75" customHeight="1" s="757">
      <c r="A23" s="10" t="inlineStr">
        <is>
          <t>FIREFOX TARDA</t>
        </is>
      </c>
      <c r="B23" s="11" t="n"/>
      <c r="C23" s="11" t="n"/>
      <c r="D23" s="12" t="n"/>
      <c r="E23" s="756" t="n"/>
      <c r="F23" s="24" t="n"/>
      <c r="G23" s="24" t="n"/>
      <c r="H23" s="756" t="n"/>
      <c r="I23" s="756" t="n"/>
      <c r="J23" s="756" t="n"/>
      <c r="K23" s="755" t="n"/>
      <c r="L23" s="756" t="n"/>
      <c r="M23" s="24" t="n"/>
      <c r="N23" s="24" t="n"/>
      <c r="P23" s="23" t="n">
        <v>9</v>
      </c>
      <c r="Q23" s="56" t="inlineStr">
        <is>
          <t>PERE</t>
        </is>
      </c>
      <c r="R23" s="23" t="n"/>
      <c r="S23" s="23" t="n"/>
      <c r="T23" s="24" t="n"/>
      <c r="U23" s="24" t="n"/>
      <c r="V23" s="48" t="n"/>
      <c r="W23" s="48" t="n"/>
      <c r="X23" s="48" t="n"/>
      <c r="Y23" s="48" t="n"/>
      <c r="Z23" s="48" t="n"/>
      <c r="AA23" s="24" t="n"/>
      <c r="AB23" s="24" t="n"/>
      <c r="AC23" s="755" t="n"/>
      <c r="AD23" s="756" t="n"/>
      <c r="AE23" s="756" t="n"/>
      <c r="AF23" s="756" t="n"/>
      <c r="AG23" s="26" t="n"/>
      <c r="AH23" s="24" t="n"/>
      <c r="AI23" s="24" t="n"/>
      <c r="AJ23" s="4" t="n"/>
      <c r="AL23" s="56" t="inlineStr">
        <is>
          <t>9-FCOI25 MIG</t>
        </is>
      </c>
      <c r="AM23" s="56" t="n"/>
      <c r="AN23" s="56" t="n"/>
      <c r="AP23" s="667" t="inlineStr">
        <is>
          <t>(EXAMEN)</t>
        </is>
      </c>
      <c r="AQ23" s="667" t="n"/>
      <c r="AT23" s="775" t="n"/>
    </row>
    <row r="24" ht="15.75" customHeight="1" s="757">
      <c r="A24" s="10" t="inlineStr">
        <is>
          <t>TARRAGONA mati</t>
        </is>
      </c>
      <c r="B24" s="11" t="n"/>
      <c r="C24" s="11" t="n"/>
      <c r="D24" s="12" t="n"/>
      <c r="E24" s="756" t="n"/>
      <c r="F24" s="24" t="n"/>
      <c r="G24" s="24" t="n"/>
      <c r="H24" s="289" t="inlineStr">
        <is>
          <t>RAF</t>
        </is>
      </c>
      <c r="I24" s="756" t="n"/>
      <c r="K24" s="406" t="inlineStr">
        <is>
          <t>TEAMS</t>
        </is>
      </c>
      <c r="L24" s="756" t="n"/>
      <c r="M24" s="24" t="n"/>
      <c r="N24" s="24" t="n"/>
      <c r="O24" s="406" t="inlineStr">
        <is>
          <t>TEAMS</t>
        </is>
      </c>
      <c r="P24" s="756" t="n"/>
      <c r="Q24" s="408" t="n"/>
      <c r="R24" s="756" t="n"/>
      <c r="S24" s="408" t="n"/>
      <c r="T24" s="24" t="n"/>
      <c r="U24" s="24" t="n"/>
      <c r="V24" s="756" t="n"/>
      <c r="W24" s="407" t="n"/>
      <c r="X24" s="756" t="n"/>
      <c r="Y24" s="408" t="n"/>
      <c r="Z24" s="756" t="n"/>
      <c r="AA24" s="24" t="n"/>
      <c r="AB24" s="24" t="n"/>
      <c r="AC24" s="83" t="inlineStr">
        <is>
          <t>RAF</t>
        </is>
      </c>
      <c r="AD24" s="407" t="n"/>
      <c r="AE24" s="756" t="n"/>
      <c r="AF24" s="756" t="n"/>
      <c r="AG24" s="26" t="n"/>
      <c r="AH24" s="24" t="n"/>
      <c r="AI24" s="24" t="n"/>
      <c r="AJ24" s="4" t="n"/>
      <c r="AL24" s="289" t="inlineStr">
        <is>
          <t>EAPC - TEAMS I OUTLOOK</t>
        </is>
      </c>
      <c r="AM24" s="289" t="n"/>
      <c r="AN24" s="289" t="n"/>
      <c r="AO24" s="289" t="n"/>
      <c r="AR24" s="83" t="inlineStr">
        <is>
          <t>EAPC- SHAREPOINT</t>
        </is>
      </c>
      <c r="AS24" s="289" t="n"/>
      <c r="AV24" s="551" t="inlineStr">
        <is>
          <t>EAPC - ACTIC MITJÀ</t>
        </is>
      </c>
    </row>
    <row r="25" ht="15.75" customHeight="1" s="757">
      <c r="A25" s="10" t="inlineStr">
        <is>
          <t>TARRAGONA tarda</t>
        </is>
      </c>
      <c r="B25" s="11" t="n"/>
      <c r="C25" s="11" t="n"/>
      <c r="D25" s="12" t="n"/>
      <c r="E25" s="756" t="n"/>
      <c r="F25" s="24" t="n"/>
      <c r="G25" s="24" t="n"/>
      <c r="H25" s="756" t="n"/>
      <c r="I25" s="756" t="n"/>
      <c r="J25" s="756" t="n"/>
      <c r="K25" s="756" t="n"/>
      <c r="L25" s="756" t="n"/>
      <c r="M25" s="24" t="n"/>
      <c r="N25" s="24" t="n"/>
      <c r="O25" s="756" t="n"/>
      <c r="P25" s="756" t="n"/>
      <c r="Q25" s="756" t="n"/>
      <c r="R25" s="756" t="n"/>
      <c r="S25" s="756" t="n"/>
      <c r="T25" s="24" t="n"/>
      <c r="U25" s="24" t="n"/>
      <c r="V25" s="756" t="n"/>
      <c r="W25" s="756" t="n"/>
      <c r="X25" s="756" t="n"/>
      <c r="Y25" s="756" t="n"/>
      <c r="Z25" s="756" t="n"/>
      <c r="AA25" s="24" t="n"/>
      <c r="AB25" s="24" t="n"/>
      <c r="AC25" s="756" t="n"/>
      <c r="AD25" s="756" t="n"/>
      <c r="AE25" s="756" t="n"/>
      <c r="AF25" s="756" t="n"/>
      <c r="AG25" s="26" t="n"/>
      <c r="AH25" s="24" t="n"/>
      <c r="AI25" s="24" t="n"/>
      <c r="AJ25" s="4" t="n"/>
      <c r="AL25" s="552" t="n"/>
    </row>
    <row r="26" ht="19.5" customFormat="1" customHeight="1" s="4" thickBot="1">
      <c r="A26" s="788" t="inlineStr">
        <is>
          <t>ABRIL</t>
        </is>
      </c>
      <c r="B26" s="156" t="n"/>
      <c r="C26" s="156" t="n"/>
      <c r="D26" s="156" t="n"/>
      <c r="E26" s="156" t="n"/>
      <c r="F26" s="156" t="n"/>
      <c r="G26" s="156" t="n"/>
      <c r="H26" s="156" t="n"/>
      <c r="I26" s="156" t="n"/>
      <c r="J26" s="156" t="n"/>
      <c r="K26" s="156" t="n"/>
      <c r="L26" s="156" t="n"/>
      <c r="M26" s="156" t="n"/>
      <c r="N26" s="156" t="n"/>
      <c r="O26" s="156" t="n"/>
      <c r="P26" s="156" t="n"/>
      <c r="Q26" s="156" t="n"/>
      <c r="R26" s="156" t="n"/>
      <c r="S26" s="156" t="n"/>
      <c r="T26" s="156" t="n"/>
      <c r="U26" s="156" t="n"/>
      <c r="V26" s="156" t="n"/>
      <c r="W26" s="156" t="n"/>
      <c r="X26" s="156" t="n"/>
      <c r="Y26" s="156" t="n"/>
      <c r="Z26" s="156" t="n"/>
      <c r="AA26" s="156" t="n"/>
      <c r="AB26" s="156" t="n"/>
      <c r="AC26" s="156" t="n"/>
      <c r="AD26" s="156" t="n"/>
      <c r="AE26" s="156" t="n"/>
      <c r="AF26" s="156" t="n"/>
      <c r="AG26" s="156" t="n"/>
      <c r="AH26" s="156" t="n"/>
      <c r="AI26" s="142" t="n"/>
      <c r="AJ26" s="524" t="n">
        <v>21</v>
      </c>
      <c r="AK26" s="59">
        <f>AK18+21</f>
        <v/>
      </c>
    </row>
    <row r="27" ht="65.25" customFormat="1" customHeight="1" s="5">
      <c r="A27" s="7" t="inlineStr">
        <is>
          <t>AULA</t>
        </is>
      </c>
      <c r="B27" s="8" t="inlineStr">
        <is>
          <t>INICI</t>
        </is>
      </c>
      <c r="C27" s="8" t="inlineStr">
        <is>
          <t>FINAL</t>
        </is>
      </c>
      <c r="D27" s="8" t="inlineStr">
        <is>
          <t>AULA</t>
        </is>
      </c>
      <c r="E27" s="9" t="n">
        <v>45383</v>
      </c>
      <c r="F27" s="9" t="n">
        <v>45384</v>
      </c>
      <c r="G27" s="9" t="n">
        <v>45385</v>
      </c>
      <c r="H27" s="9" t="n">
        <v>45386</v>
      </c>
      <c r="I27" s="9" t="n">
        <v>45387</v>
      </c>
      <c r="J27" s="9" t="n">
        <v>45388</v>
      </c>
      <c r="K27" s="9" t="n">
        <v>45389</v>
      </c>
      <c r="L27" s="9" t="n">
        <v>45390</v>
      </c>
      <c r="M27" s="9" t="n">
        <v>45391</v>
      </c>
      <c r="N27" s="9" t="n">
        <v>45392</v>
      </c>
      <c r="O27" s="9" t="n">
        <v>45393</v>
      </c>
      <c r="P27" s="9" t="n">
        <v>45394</v>
      </c>
      <c r="Q27" s="9" t="n">
        <v>45395</v>
      </c>
      <c r="R27" s="9" t="n">
        <v>45396</v>
      </c>
      <c r="S27" s="9" t="n">
        <v>45397</v>
      </c>
      <c r="T27" s="9" t="n">
        <v>45398</v>
      </c>
      <c r="U27" s="9" t="n">
        <v>45399</v>
      </c>
      <c r="V27" s="9" t="n">
        <v>45400</v>
      </c>
      <c r="W27" s="9" t="n">
        <v>45401</v>
      </c>
      <c r="X27" s="9" t="n">
        <v>45402</v>
      </c>
      <c r="Y27" s="9" t="n">
        <v>45403</v>
      </c>
      <c r="Z27" s="9" t="n">
        <v>45404</v>
      </c>
      <c r="AA27" s="9" t="n">
        <v>45405</v>
      </c>
      <c r="AB27" s="9" t="n">
        <v>45406</v>
      </c>
      <c r="AC27" s="9" t="n">
        <v>45407</v>
      </c>
      <c r="AD27" s="9" t="n">
        <v>45408</v>
      </c>
      <c r="AE27" s="9" t="n">
        <v>45409</v>
      </c>
      <c r="AF27" s="9" t="n">
        <v>45410</v>
      </c>
      <c r="AG27" s="9" t="n">
        <v>45411</v>
      </c>
      <c r="AH27" s="9" t="n">
        <v>45412</v>
      </c>
      <c r="AI27" s="9" t="n"/>
      <c r="AJ27" s="4" t="n"/>
      <c r="AK27" s="242" t="n"/>
      <c r="AL27" s="243" t="n"/>
      <c r="AM27" s="243" t="n"/>
      <c r="AN27" s="243" t="n"/>
      <c r="AO27" s="243" t="n"/>
      <c r="AP27" s="243" t="n"/>
      <c r="AQ27" s="243" t="n"/>
      <c r="AR27" s="243" t="n"/>
      <c r="AS27" s="243" t="n"/>
      <c r="AT27" s="243" t="n"/>
      <c r="AU27" s="243" t="n"/>
      <c r="AV27" s="243" t="n"/>
      <c r="AW27" s="243" t="n"/>
      <c r="AX27" s="243" t="n"/>
    </row>
    <row r="28" ht="21" customHeight="1" s="757">
      <c r="A28" s="10" t="inlineStr">
        <is>
          <t>GOOGLE MATINS</t>
        </is>
      </c>
      <c r="B28" s="11" t="n"/>
      <c r="C28" s="11" t="n"/>
      <c r="D28" s="12" t="n"/>
      <c r="E28" s="26" t="n"/>
      <c r="F28" s="388" t="inlineStr">
        <is>
          <t>UF0351</t>
        </is>
      </c>
      <c r="G28" s="69" t="n"/>
      <c r="H28" s="69" t="n"/>
      <c r="I28" s="69" t="n"/>
      <c r="J28" s="219" t="n"/>
      <c r="K28" s="219" t="n"/>
      <c r="L28" s="69" t="n"/>
      <c r="M28" s="69" t="n"/>
      <c r="N28" s="374" t="inlineStr">
        <is>
          <t>MF0973</t>
        </is>
      </c>
      <c r="O28" s="372" t="n"/>
      <c r="P28" s="389" t="n"/>
      <c r="Q28" s="554" t="n"/>
      <c r="R28" s="24" t="n"/>
      <c r="S28" s="518" t="n"/>
      <c r="T28" s="69" t="n"/>
      <c r="U28" s="69" t="n"/>
      <c r="V28" s="69" t="n"/>
      <c r="W28" s="69" t="n"/>
      <c r="X28" s="24" t="n"/>
      <c r="Y28" s="24" t="n"/>
      <c r="Z28" s="69" t="n"/>
      <c r="AA28" s="69" t="n"/>
      <c r="AB28" s="69" t="n"/>
      <c r="AC28" s="356" t="n"/>
      <c r="AD28" s="356" t="n"/>
      <c r="AE28" s="300" t="n"/>
      <c r="AF28" s="301" t="n"/>
      <c r="AG28" s="356" t="n"/>
      <c r="AH28" s="69" t="n"/>
      <c r="AI28" s="756" t="n"/>
      <c r="AJ28" s="4" t="n"/>
      <c r="AK28" s="256">
        <f>AK20+AJ26</f>
        <v/>
      </c>
      <c r="AL28" s="646" t="inlineStr">
        <is>
          <t>0208 CEN</t>
        </is>
      </c>
      <c r="AO28" s="775" t="n"/>
      <c r="AP28" s="228" t="n"/>
      <c r="AQ28" s="664" t="inlineStr">
        <is>
          <t>11-ADGD56 2ºED</t>
        </is>
      </c>
    </row>
    <row r="29" ht="16.5" customHeight="1" s="757" thickBot="1">
      <c r="A29" s="14" t="inlineStr">
        <is>
          <t>FIREFOX MATINS</t>
        </is>
      </c>
      <c r="B29" s="15" t="n"/>
      <c r="C29" s="15" t="n"/>
      <c r="D29" s="15" t="n"/>
      <c r="E29" s="27" t="n"/>
      <c r="F29" s="239" t="n">
        <v>10</v>
      </c>
      <c r="G29" s="239" t="n"/>
      <c r="H29" s="239" t="n"/>
      <c r="I29" s="239" t="n"/>
      <c r="J29" s="235" t="n"/>
      <c r="K29" s="235" t="n"/>
      <c r="L29" s="239" t="n"/>
      <c r="M29" s="130" t="n"/>
      <c r="N29" s="130" t="n"/>
      <c r="O29" s="130" t="n"/>
      <c r="P29" s="761" t="n"/>
      <c r="Q29" s="126" t="n"/>
      <c r="R29" s="126" t="n"/>
      <c r="S29" s="239" t="n">
        <v>11</v>
      </c>
      <c r="T29" s="239" t="inlineStr">
        <is>
          <t>MARIA</t>
        </is>
      </c>
      <c r="U29" s="239" t="n"/>
      <c r="V29" s="239" t="n"/>
      <c r="W29" s="239" t="n"/>
      <c r="X29" s="126" t="n"/>
      <c r="Y29" s="126" t="n"/>
      <c r="Z29" s="23" t="n">
        <v>11</v>
      </c>
      <c r="AA29" s="23" t="n"/>
      <c r="AB29" s="403" t="inlineStr">
        <is>
          <t>MF0343</t>
        </is>
      </c>
      <c r="AC29" s="61" t="n"/>
      <c r="AD29" s="234" t="n"/>
      <c r="AE29" s="126" t="n"/>
      <c r="AF29" s="126" t="n"/>
      <c r="AG29" s="234" t="n"/>
      <c r="AH29" s="234" t="n"/>
      <c r="AI29" s="130" t="n"/>
      <c r="AJ29" s="4" t="n"/>
      <c r="AK29" t="n">
        <v>5</v>
      </c>
      <c r="AL29" s="743" t="inlineStr">
        <is>
          <t>005 -IMPE0108 (6H)</t>
        </is>
      </c>
    </row>
    <row r="30" ht="16.5" customHeight="1" s="757" thickTop="1">
      <c r="A30" s="17" t="inlineStr">
        <is>
          <t>GOOGLE TARDA</t>
        </is>
      </c>
      <c r="B30" s="18" t="n"/>
      <c r="C30" s="18" t="n"/>
      <c r="D30" s="18" t="n"/>
      <c r="E30" s="28" t="n"/>
      <c r="F30" s="755" t="n"/>
      <c r="G30" s="409" t="n"/>
      <c r="H30" s="755" t="n"/>
      <c r="I30" s="755" t="n"/>
      <c r="J30" s="220" t="n"/>
      <c r="K30" s="220" t="n"/>
      <c r="L30" s="755" t="n"/>
      <c r="M30" s="755" t="n"/>
      <c r="N30" s="396" t="inlineStr">
        <is>
          <t>4vam</t>
        </is>
      </c>
      <c r="O30" s="755" t="n"/>
      <c r="P30" s="755" t="n"/>
      <c r="Q30" s="39" t="n"/>
      <c r="R30" s="39" t="n"/>
      <c r="S30" s="756" t="n"/>
      <c r="T30" s="755" t="n"/>
      <c r="U30" s="409" t="n"/>
      <c r="V30" s="755" t="n"/>
      <c r="W30" s="755" t="n"/>
      <c r="X30" s="39" t="n"/>
      <c r="Y30" s="39" t="n"/>
      <c r="Z30" s="755" t="n"/>
      <c r="AA30" s="755" t="n"/>
      <c r="AB30" s="409" t="n"/>
      <c r="AC30" s="755" t="n"/>
      <c r="AD30" s="755" t="n"/>
      <c r="AE30" s="39" t="n"/>
      <c r="AF30" s="39" t="n"/>
      <c r="AG30" s="755" t="n"/>
      <c r="AH30" s="755" t="n"/>
      <c r="AI30" s="755" t="n"/>
      <c r="AJ30" s="140" t="n"/>
      <c r="AL30" s="664" t="inlineStr">
        <is>
          <t>10-IFCM_IT02 (5H)</t>
        </is>
      </c>
      <c r="AR30" s="744" t="inlineStr">
        <is>
          <t>COMPTABILITAT BÀSICA</t>
        </is>
      </c>
      <c r="AX30" s="394" t="inlineStr">
        <is>
          <t>4 VAM</t>
        </is>
      </c>
    </row>
    <row r="31" ht="15.75" customHeight="1" s="757">
      <c r="A31" s="10" t="inlineStr">
        <is>
          <t>FIREFOX TARDA</t>
        </is>
      </c>
      <c r="B31" s="11" t="n"/>
      <c r="C31" s="11" t="n"/>
      <c r="D31" s="12" t="n"/>
      <c r="E31" s="26" t="n"/>
      <c r="F31" s="756" t="n"/>
      <c r="G31" s="527" t="inlineStr">
        <is>
          <t>MOD1</t>
        </is>
      </c>
      <c r="H31" s="31" t="n"/>
      <c r="I31" s="31" t="n"/>
      <c r="J31" s="219" t="n"/>
      <c r="K31" s="219" t="n"/>
      <c r="L31" s="523" t="inlineStr">
        <is>
          <t>MOD2</t>
        </is>
      </c>
      <c r="M31" s="51" t="n"/>
      <c r="N31" s="51" t="n"/>
      <c r="O31" s="523" t="inlineStr">
        <is>
          <t>MOD3</t>
        </is>
      </c>
      <c r="P31" s="51" t="n"/>
      <c r="Q31" s="24" t="n"/>
      <c r="R31" s="24" t="n"/>
      <c r="S31" s="33" t="inlineStr">
        <is>
          <t>COACHING</t>
        </is>
      </c>
      <c r="T31" s="33" t="n"/>
      <c r="U31" s="33" t="n"/>
      <c r="V31" s="33" t="n"/>
      <c r="W31" s="33" t="n"/>
      <c r="X31" s="24" t="n"/>
      <c r="Y31" s="24" t="n"/>
      <c r="Z31" s="33" t="inlineStr">
        <is>
          <t>C</t>
        </is>
      </c>
      <c r="AA31" s="33" t="n"/>
      <c r="AB31" s="33" t="n"/>
      <c r="AC31" s="33" t="n"/>
      <c r="AD31" s="33" t="n"/>
      <c r="AE31" s="24" t="n"/>
      <c r="AF31" s="24" t="n"/>
      <c r="AG31" s="756" t="n"/>
      <c r="AH31" s="756" t="n"/>
      <c r="AI31" s="756" t="n"/>
      <c r="AJ31" s="4" t="n"/>
      <c r="AR31" s="116" t="inlineStr">
        <is>
          <t>COACHING DE FORTALESES</t>
        </is>
      </c>
      <c r="AS31" s="116" t="n"/>
      <c r="AT31" s="116" t="n"/>
      <c r="AU31" s="116" t="n"/>
      <c r="AV31" s="116" t="n"/>
      <c r="AX31" s="745" t="inlineStr">
        <is>
          <t>015- FCOI11ACTIC MITJ- FOAP(5 H)</t>
        </is>
      </c>
    </row>
    <row r="32" ht="15.75" customHeight="1" s="757">
      <c r="A32" s="10" t="inlineStr">
        <is>
          <t>TARRAGONA mati</t>
        </is>
      </c>
      <c r="B32" s="11" t="n"/>
      <c r="C32" s="11" t="n"/>
      <c r="D32" s="12" t="n"/>
      <c r="E32" s="26" t="n"/>
      <c r="F32" s="756" t="n"/>
      <c r="G32" s="756" t="n"/>
      <c r="H32" s="756" t="n"/>
      <c r="I32" s="756" t="n"/>
      <c r="J32" s="219" t="n"/>
      <c r="K32" s="219" t="n"/>
      <c r="L32" s="289" t="inlineStr">
        <is>
          <t>RAF</t>
        </is>
      </c>
      <c r="M32" s="756" t="n"/>
      <c r="N32" s="756" t="n"/>
      <c r="O32" s="756" t="n"/>
      <c r="P32" s="756" t="n"/>
      <c r="Q32" s="24" t="n"/>
      <c r="R32" s="24" t="n"/>
      <c r="T32" s="756" t="n"/>
      <c r="V32" s="756" t="n"/>
      <c r="W32" s="756" t="n"/>
      <c r="X32" s="24" t="n"/>
      <c r="Y32" s="24" t="n"/>
      <c r="Z32" s="43" t="inlineStr">
        <is>
          <t>RAF</t>
        </is>
      </c>
      <c r="AA32" s="756" t="n"/>
      <c r="AB32" s="756" t="n"/>
      <c r="AC32" s="756" t="n"/>
      <c r="AD32" s="756" t="n"/>
      <c r="AE32" s="24" t="n"/>
      <c r="AF32" s="24" t="n"/>
      <c r="AH32" s="756" t="n"/>
      <c r="AI32" s="756" t="n"/>
      <c r="AJ32" s="4" t="n"/>
      <c r="AL32" s="289" t="inlineStr">
        <is>
          <t>EAPC -ONEDRIVE</t>
        </is>
      </c>
      <c r="AM32" s="289" t="n"/>
      <c r="AP32" s="289" t="inlineStr">
        <is>
          <t>EAPC- ONE NOTE</t>
        </is>
      </c>
      <c r="AQ32" s="289" t="n"/>
    </row>
    <row r="33" ht="15.75" customHeight="1" s="757">
      <c r="A33" s="10" t="inlineStr">
        <is>
          <t>TARRAGONA tarda</t>
        </is>
      </c>
      <c r="B33" s="11" t="n"/>
      <c r="C33" s="11" t="n"/>
      <c r="D33" s="12" t="n"/>
      <c r="E33" s="26" t="n"/>
      <c r="F33" s="756" t="n"/>
      <c r="G33" s="756" t="n"/>
      <c r="H33" s="756" t="n"/>
      <c r="I33" s="756" t="n"/>
      <c r="J33" s="219" t="n"/>
      <c r="K33" s="219" t="n"/>
      <c r="L33" s="756" t="n"/>
      <c r="M33" s="756" t="n"/>
      <c r="N33" s="756" t="n"/>
      <c r="O33" s="756" t="n"/>
      <c r="P33" s="756" t="n"/>
      <c r="Q33" s="24" t="n"/>
      <c r="R33" s="24" t="n"/>
      <c r="S33" s="756" t="n"/>
      <c r="T33" s="756" t="n"/>
      <c r="U33" s="756" t="n"/>
      <c r="V33" s="756" t="n"/>
      <c r="W33" s="756" t="n"/>
      <c r="X33" s="24" t="n"/>
      <c r="Y33" s="24" t="n"/>
      <c r="Z33" s="756" t="n"/>
      <c r="AA33" s="756" t="n"/>
      <c r="AB33" s="756" t="n"/>
      <c r="AC33" s="756" t="n"/>
      <c r="AD33" s="756" t="n"/>
      <c r="AE33" s="24" t="n"/>
      <c r="AF33" s="24" t="n"/>
      <c r="AG33" s="756" t="n"/>
      <c r="AH33" s="756" t="n"/>
      <c r="AI33" s="756" t="n"/>
      <c r="AJ33" s="4" t="n"/>
    </row>
    <row r="34" ht="19.5" customFormat="1" customHeight="1" s="4" thickBot="1">
      <c r="A34" s="788" t="inlineStr">
        <is>
          <t>MAIG</t>
        </is>
      </c>
      <c r="B34" s="156" t="n"/>
      <c r="C34" s="156" t="n"/>
      <c r="D34" s="156" t="n"/>
      <c r="E34" s="156" t="n"/>
      <c r="F34" s="156" t="n"/>
      <c r="G34" s="156" t="n"/>
      <c r="H34" s="156" t="n"/>
      <c r="I34" s="156" t="n"/>
      <c r="J34" s="156" t="n"/>
      <c r="K34" s="156" t="n"/>
      <c r="L34" s="156" t="n"/>
      <c r="M34" s="156" t="n"/>
      <c r="N34" s="156" t="n"/>
      <c r="O34" s="156" t="n"/>
      <c r="P34" s="156" t="n"/>
      <c r="Q34" s="156" t="n"/>
      <c r="R34" s="156" t="n"/>
      <c r="S34" s="156" t="n"/>
      <c r="T34" s="156" t="n"/>
      <c r="U34" s="156" t="n"/>
      <c r="V34" s="156" t="n"/>
      <c r="W34" s="156" t="n"/>
      <c r="X34" s="156" t="n"/>
      <c r="Y34" s="156" t="n"/>
      <c r="Z34" s="156" t="n"/>
      <c r="AA34" s="156" t="n"/>
      <c r="AB34" s="156" t="n"/>
      <c r="AC34" s="156" t="n"/>
      <c r="AD34" s="156" t="n"/>
      <c r="AE34" s="156" t="n"/>
      <c r="AF34" s="156" t="n"/>
      <c r="AG34" s="156" t="n"/>
      <c r="AH34" s="156" t="n"/>
      <c r="AI34" s="142" t="n"/>
      <c r="AJ34" s="524" t="n">
        <v>21</v>
      </c>
      <c r="AK34">
        <f>AK26+AJ34</f>
        <v/>
      </c>
    </row>
    <row r="35" ht="64.5" customHeight="1" s="757">
      <c r="A35" s="7" t="inlineStr">
        <is>
          <t>AULA</t>
        </is>
      </c>
      <c r="B35" s="8" t="inlineStr">
        <is>
          <t>INICI</t>
        </is>
      </c>
      <c r="C35" s="8" t="inlineStr">
        <is>
          <t>FINAL</t>
        </is>
      </c>
      <c r="D35" s="8" t="inlineStr">
        <is>
          <t>AULA</t>
        </is>
      </c>
      <c r="E35" s="171" t="n">
        <v>45413</v>
      </c>
      <c r="F35" s="171" t="n">
        <v>45414</v>
      </c>
      <c r="G35" s="171" t="n">
        <v>45415</v>
      </c>
      <c r="H35" s="171" t="n">
        <v>45416</v>
      </c>
      <c r="I35" s="171" t="n">
        <v>45417</v>
      </c>
      <c r="J35" s="171" t="n">
        <v>45418</v>
      </c>
      <c r="K35" s="171" t="n">
        <v>45053</v>
      </c>
      <c r="L35" s="171" t="n">
        <v>45420</v>
      </c>
      <c r="M35" s="171" t="n">
        <v>45421</v>
      </c>
      <c r="N35" s="171" t="n">
        <v>45422</v>
      </c>
      <c r="O35" s="171" t="n">
        <v>45423</v>
      </c>
      <c r="P35" s="171" t="n">
        <v>45424</v>
      </c>
      <c r="Q35" s="221" t="n">
        <v>45425</v>
      </c>
      <c r="R35" s="191" t="n">
        <v>45426</v>
      </c>
      <c r="S35" s="190" t="n">
        <v>45427</v>
      </c>
      <c r="T35" s="188" t="n">
        <v>45428</v>
      </c>
      <c r="U35" s="171" t="n">
        <v>45429</v>
      </c>
      <c r="V35" s="171" t="n">
        <v>45430</v>
      </c>
      <c r="W35" s="171" t="n">
        <v>45431</v>
      </c>
      <c r="X35" s="171" t="n">
        <v>45432</v>
      </c>
      <c r="Y35" s="171" t="n">
        <v>45433</v>
      </c>
      <c r="Z35" s="171" t="n">
        <v>45434</v>
      </c>
      <c r="AA35" s="171" t="n">
        <v>45435</v>
      </c>
      <c r="AB35" s="171" t="n">
        <v>45436</v>
      </c>
      <c r="AC35" s="171" t="n">
        <v>45437</v>
      </c>
      <c r="AD35" s="171" t="n">
        <v>45438</v>
      </c>
      <c r="AE35" s="171" t="n">
        <v>45439</v>
      </c>
      <c r="AF35" s="171" t="n">
        <v>45440</v>
      </c>
      <c r="AG35" s="171" t="n">
        <v>45441</v>
      </c>
      <c r="AH35" s="171" t="n">
        <v>45442</v>
      </c>
      <c r="AI35" s="171" t="n">
        <v>45443</v>
      </c>
      <c r="AJ35" s="4" t="n"/>
    </row>
    <row r="36" ht="15.75" customHeight="1" s="757">
      <c r="A36" s="10" t="inlineStr">
        <is>
          <t>GOOGLE MATINS</t>
        </is>
      </c>
      <c r="B36" s="11" t="n"/>
      <c r="C36" s="11" t="n"/>
      <c r="D36" s="12" t="n"/>
      <c r="E36" s="26" t="n"/>
      <c r="F36" s="388" t="inlineStr">
        <is>
          <t>MF0233 PERE</t>
        </is>
      </c>
      <c r="G36" s="378" t="n"/>
      <c r="H36" s="24" t="n"/>
      <c r="I36" s="300" t="n"/>
      <c r="J36" s="69" t="n"/>
      <c r="K36" s="349" t="n"/>
      <c r="L36" s="419" t="n"/>
      <c r="M36" s="388" t="inlineStr">
        <is>
          <t>UF0320</t>
        </is>
      </c>
      <c r="N36" s="518" t="n"/>
      <c r="O36" s="24" t="n"/>
      <c r="P36" s="300" t="n"/>
      <c r="Q36" s="69" t="n"/>
      <c r="R36" s="69" t="n"/>
      <c r="S36" s="354" t="n"/>
      <c r="T36" s="74" t="inlineStr">
        <is>
          <t>UF0321</t>
        </is>
      </c>
      <c r="U36" s="69" t="n"/>
      <c r="V36" s="24" t="n"/>
      <c r="W36" s="300" t="n"/>
      <c r="X36" s="69" t="n"/>
      <c r="Y36" s="69" t="n"/>
      <c r="Z36" s="69" t="n"/>
      <c r="AA36" s="349" t="n"/>
      <c r="AB36" s="69" t="n"/>
      <c r="AC36" s="24" t="n"/>
      <c r="AD36" s="24" t="n"/>
      <c r="AE36" s="355" t="n"/>
      <c r="AF36" s="74" t="inlineStr">
        <is>
          <t>UF0322</t>
        </is>
      </c>
      <c r="AG36" s="74" t="n"/>
      <c r="AH36" s="350" t="n"/>
      <c r="AI36" s="390" t="n"/>
      <c r="AJ36" s="4" t="n"/>
      <c r="AK36" s="228">
        <f>AK28+AJ34</f>
        <v/>
      </c>
      <c r="AL36" s="646" t="inlineStr">
        <is>
          <t>0208 CEN</t>
        </is>
      </c>
      <c r="AO36" s="775" t="n"/>
      <c r="AW36" s="775" t="n"/>
    </row>
    <row r="37" ht="16.5" customHeight="1" s="757" thickBot="1">
      <c r="A37" s="14" t="inlineStr">
        <is>
          <t>FIREFOX MATINS</t>
        </is>
      </c>
      <c r="B37" s="15" t="n"/>
      <c r="C37" s="15" t="n"/>
      <c r="D37" s="15" t="n"/>
      <c r="E37" s="27" t="n"/>
      <c r="F37" s="2" t="inlineStr">
        <is>
          <t>MF0344</t>
        </is>
      </c>
      <c r="G37" s="234" t="n"/>
      <c r="H37" s="126" t="n"/>
      <c r="I37" s="126" t="n"/>
      <c r="J37" s="375" t="n"/>
      <c r="K37" s="234" t="n"/>
      <c r="L37" s="234" t="n"/>
      <c r="M37" s="379" t="n"/>
      <c r="N37" s="380" t="n"/>
      <c r="O37" s="126" t="n"/>
      <c r="P37" s="126" t="n"/>
      <c r="Q37" s="375" t="n"/>
      <c r="R37" s="381" t="n"/>
      <c r="S37" s="381" t="n"/>
      <c r="T37" s="382" t="inlineStr">
        <is>
          <t>MF0345</t>
        </is>
      </c>
      <c r="U37" s="234" t="n"/>
      <c r="V37" s="126" t="n"/>
      <c r="W37" s="126" t="n"/>
      <c r="X37" s="375" t="n"/>
      <c r="Y37" s="234" t="n"/>
      <c r="Z37" s="234" t="n"/>
      <c r="AA37" s="236" t="n"/>
      <c r="AB37" s="234" t="n"/>
      <c r="AC37" s="126" t="n"/>
      <c r="AD37" s="126" t="n"/>
      <c r="AE37" s="234" t="n"/>
      <c r="AF37" s="234" t="n"/>
      <c r="AG37" s="234" t="n"/>
      <c r="AH37" s="234" t="n"/>
      <c r="AI37" s="234" t="n"/>
      <c r="AJ37" s="4" t="n"/>
      <c r="AK37">
        <f>AK29+AJ34</f>
        <v/>
      </c>
      <c r="AL37" s="743" t="inlineStr">
        <is>
          <t>005 -IMPE0108 (6H)</t>
        </is>
      </c>
    </row>
    <row r="38" ht="16.5" customHeight="1" s="757" thickTop="1">
      <c r="A38" s="17" t="inlineStr">
        <is>
          <t>GOOGLE TARDA</t>
        </is>
      </c>
      <c r="B38" s="18" t="n"/>
      <c r="C38" s="18" t="n"/>
      <c r="D38" s="18" t="n"/>
      <c r="E38" s="28" t="n"/>
      <c r="F38" s="755" t="n"/>
      <c r="G38" s="755" t="n"/>
      <c r="H38" s="39" t="n"/>
      <c r="I38" s="39" t="n"/>
      <c r="J38" s="396" t="inlineStr">
        <is>
          <t>5vam</t>
        </is>
      </c>
      <c r="K38" s="755" t="n"/>
      <c r="L38" s="409" t="n"/>
      <c r="M38" s="755" t="n"/>
      <c r="N38" s="398" t="inlineStr">
        <is>
          <t>5vam</t>
        </is>
      </c>
      <c r="O38" s="39" t="n"/>
      <c r="P38" s="39" t="n"/>
      <c r="Q38" s="755" t="n"/>
      <c r="R38" s="755" t="n"/>
      <c r="S38" s="409" t="n"/>
      <c r="T38" s="755" t="n"/>
      <c r="U38" s="755" t="n"/>
      <c r="V38" s="39" t="n"/>
      <c r="W38" s="39" t="n"/>
      <c r="X38" s="755" t="n"/>
      <c r="Y38" s="755" t="n"/>
      <c r="Z38" s="410" t="n"/>
      <c r="AA38" s="755" t="n"/>
      <c r="AB38" s="755" t="n"/>
      <c r="AC38" s="39" t="n"/>
      <c r="AD38" s="39" t="n"/>
      <c r="AE38" s="782" t="n"/>
      <c r="AF38" s="782" t="n"/>
      <c r="AG38" s="409" t="n"/>
      <c r="AH38" s="755" t="n"/>
      <c r="AI38" s="755" t="n"/>
      <c r="AJ38" s="4" t="n"/>
      <c r="AL38" s="741" t="inlineStr">
        <is>
          <t>COMPTABILITAT BÀSICA</t>
        </is>
      </c>
      <c r="AR38" s="394" t="inlineStr">
        <is>
          <t>5 VAM</t>
        </is>
      </c>
    </row>
    <row r="39" ht="15.75" customHeight="1" s="757">
      <c r="A39" s="10" t="inlineStr">
        <is>
          <t>FIREFOX TARDA</t>
        </is>
      </c>
      <c r="B39" s="11" t="n"/>
      <c r="C39" s="11" t="n"/>
      <c r="D39" s="12" t="n"/>
      <c r="E39" s="26" t="n"/>
      <c r="F39" s="756" t="n"/>
      <c r="G39" s="756" t="n"/>
      <c r="H39" s="24" t="n"/>
      <c r="I39" s="24" t="n"/>
      <c r="J39" s="33" t="inlineStr">
        <is>
          <t>2-CRR</t>
        </is>
      </c>
      <c r="K39" s="33" t="n"/>
      <c r="L39" s="274" t="n"/>
      <c r="M39" s="274" t="n"/>
      <c r="N39" s="33" t="n"/>
      <c r="O39" s="24" t="n"/>
      <c r="P39" s="24" t="n"/>
      <c r="Q39" s="756" t="n"/>
      <c r="R39" s="545" t="inlineStr">
        <is>
          <t>ASSE- IMATGE</t>
        </is>
      </c>
      <c r="S39" s="33" t="n"/>
      <c r="T39" s="756" t="n"/>
      <c r="U39" s="756" t="n"/>
      <c r="V39" s="24" t="n"/>
      <c r="W39" s="24" t="n"/>
      <c r="X39" s="756" t="n"/>
      <c r="Y39" s="163" t="n"/>
      <c r="Z39" s="394" t="inlineStr">
        <is>
          <t>6vam</t>
        </is>
      </c>
      <c r="AA39" s="142" t="n"/>
      <c r="AB39" s="756" t="n"/>
      <c r="AC39" s="24" t="n"/>
      <c r="AD39" s="300" t="n"/>
      <c r="AE39" s="394" t="inlineStr">
        <is>
          <t>7vam</t>
        </is>
      </c>
      <c r="AF39" s="394" t="inlineStr">
        <is>
          <t>7vam</t>
        </is>
      </c>
      <c r="AG39" s="142" t="n"/>
      <c r="AH39" s="756" t="n"/>
      <c r="AI39" s="756" t="n"/>
      <c r="AJ39" s="4" t="n"/>
      <c r="AL39" s="536" t="inlineStr">
        <is>
          <t>2-OPERACIÓ CARRETONS</t>
        </is>
      </c>
      <c r="AM39" s="536" t="n"/>
      <c r="AN39" s="116" t="n"/>
      <c r="AO39" s="116" t="n"/>
      <c r="AP39" s="116" t="n"/>
      <c r="AR39" s="394" t="inlineStr">
        <is>
          <t>6 VAM</t>
        </is>
      </c>
      <c r="AT39" s="394" t="inlineStr">
        <is>
          <t>7 VAM</t>
        </is>
      </c>
      <c r="AU39" s="33" t="inlineStr">
        <is>
          <t>ASSE- IMATGE</t>
        </is>
      </c>
      <c r="AW39" s="412" t="inlineStr">
        <is>
          <t>ASSE. IMATGE</t>
        </is>
      </c>
    </row>
    <row r="40" ht="15.75" customHeight="1" s="757">
      <c r="A40" s="10" t="inlineStr">
        <is>
          <t>TARRAGONA mati</t>
        </is>
      </c>
      <c r="B40" s="11" t="n"/>
      <c r="C40" s="11" t="n"/>
      <c r="D40" s="12" t="n"/>
      <c r="E40" s="26" t="n"/>
      <c r="F40" s="756" t="n"/>
      <c r="G40" s="756" t="n"/>
      <c r="H40" s="24" t="n"/>
      <c r="I40" s="24" t="n"/>
      <c r="K40" s="756" t="n"/>
      <c r="L40" s="756" t="n"/>
      <c r="M40" s="756" t="n"/>
      <c r="N40" s="756" t="n"/>
      <c r="O40" s="24" t="n"/>
      <c r="P40" s="24" t="n"/>
      <c r="R40" s="756" t="n"/>
      <c r="S40" s="756" t="n"/>
      <c r="T40" s="756" t="n"/>
      <c r="U40" s="756" t="n"/>
      <c r="V40" s="24" t="n"/>
      <c r="W40" s="24" t="n"/>
      <c r="X40" s="289" t="inlineStr">
        <is>
          <t>RAF???</t>
        </is>
      </c>
      <c r="Y40" s="756" t="n"/>
      <c r="Z40" s="399" t="n"/>
      <c r="AA40" s="756" t="n"/>
      <c r="AB40" s="756" t="n"/>
      <c r="AC40" s="24" t="n"/>
      <c r="AD40" s="24" t="n"/>
      <c r="AE40" s="399" t="n"/>
      <c r="AF40" s="755" t="n"/>
      <c r="AG40" s="756" t="n"/>
      <c r="AH40" s="756" t="n"/>
      <c r="AI40" s="756" t="n"/>
      <c r="AJ40" s="4" t="n"/>
      <c r="AQ40" s="289" t="n"/>
      <c r="AR40" s="289" t="n"/>
      <c r="AT40" s="289" t="inlineStr">
        <is>
          <t>EAPC - BBDD</t>
        </is>
      </c>
      <c r="AU40" s="289" t="n"/>
    </row>
    <row r="41" ht="15.75" customHeight="1" s="757">
      <c r="A41" s="194" t="inlineStr">
        <is>
          <t>TARRAGONA tarda</t>
        </is>
      </c>
      <c r="B41" s="195" t="n"/>
      <c r="C41" s="195" t="n"/>
      <c r="D41" s="196" t="n"/>
      <c r="E41" s="26" t="n"/>
      <c r="F41" s="756" t="n"/>
      <c r="G41" s="756" t="n"/>
      <c r="H41" s="24" t="n"/>
      <c r="I41" s="24" t="n"/>
      <c r="J41" s="545" t="inlineStr">
        <is>
          <t>3-PERE</t>
        </is>
      </c>
      <c r="K41" s="33" t="n"/>
      <c r="L41" s="33" t="n"/>
      <c r="M41" s="33" t="n"/>
      <c r="N41" s="33" t="n"/>
      <c r="O41" s="24" t="n"/>
      <c r="P41" s="24" t="n"/>
      <c r="Q41" s="33" t="n"/>
      <c r="R41" s="33" t="n"/>
      <c r="S41" s="33" t="n"/>
      <c r="T41" s="756" t="n"/>
      <c r="U41" s="756" t="n"/>
      <c r="V41" s="24" t="n"/>
      <c r="W41" s="24" t="n"/>
      <c r="X41" s="756" t="n"/>
      <c r="Y41" s="756" t="n"/>
      <c r="Z41" s="756" t="n"/>
      <c r="AA41" s="756" t="n"/>
      <c r="AB41" s="756" t="n"/>
      <c r="AC41" s="24" t="n"/>
      <c r="AD41" s="24" t="n"/>
      <c r="AE41" s="756" t="n"/>
      <c r="AF41" s="756" t="n"/>
      <c r="AG41" s="756" t="n"/>
      <c r="AH41" s="756" t="n"/>
      <c r="AI41" s="756" t="n"/>
      <c r="AJ41" s="4" t="n"/>
      <c r="AL41" s="661" t="inlineStr">
        <is>
          <t>3-ACTIC- NIVELL INTERMEDI 5H</t>
        </is>
      </c>
    </row>
    <row r="42" ht="19.5" customHeight="1" s="757" thickBot="1">
      <c r="A42" s="788" t="inlineStr">
        <is>
          <t>JUNY</t>
        </is>
      </c>
      <c r="B42" s="156" t="n"/>
      <c r="C42" s="156" t="n"/>
      <c r="D42" s="156" t="n"/>
      <c r="E42" s="156" t="n"/>
      <c r="F42" s="156" t="n"/>
      <c r="G42" s="156" t="n"/>
      <c r="H42" s="156" t="n"/>
      <c r="I42" s="156" t="n"/>
      <c r="J42" s="156" t="n"/>
      <c r="K42" s="156" t="n"/>
      <c r="L42" s="156" t="n"/>
      <c r="M42" s="156" t="n"/>
      <c r="N42" s="156" t="n"/>
      <c r="O42" s="156" t="n"/>
      <c r="P42" s="156" t="n"/>
      <c r="Q42" s="156" t="n"/>
      <c r="R42" s="156" t="n"/>
      <c r="S42" s="156" t="n"/>
      <c r="T42" s="156" t="n"/>
      <c r="U42" s="156" t="n"/>
      <c r="V42" s="156" t="n"/>
      <c r="W42" s="156" t="n"/>
      <c r="X42" s="156" t="n"/>
      <c r="Y42" s="156" t="n"/>
      <c r="Z42" s="156" t="n"/>
      <c r="AA42" s="156" t="n"/>
      <c r="AB42" s="156" t="n"/>
      <c r="AC42" s="156" t="n"/>
      <c r="AD42" s="156" t="n"/>
      <c r="AE42" s="156" t="n"/>
      <c r="AF42" s="156" t="n"/>
      <c r="AG42" s="156" t="n"/>
      <c r="AH42" s="156" t="n"/>
      <c r="AI42" s="142" t="n"/>
      <c r="AJ42" s="524" t="n">
        <v>19</v>
      </c>
      <c r="AK42">
        <f>AK34+AJ42</f>
        <v/>
      </c>
    </row>
    <row r="43" ht="66.75" customHeight="1" s="757">
      <c r="A43" s="7" t="inlineStr">
        <is>
          <t>AULA</t>
        </is>
      </c>
      <c r="B43" s="8" t="inlineStr">
        <is>
          <t>INICI</t>
        </is>
      </c>
      <c r="C43" s="8" t="inlineStr">
        <is>
          <t>FINAL</t>
        </is>
      </c>
      <c r="D43" s="8" t="inlineStr">
        <is>
          <t>AULA</t>
        </is>
      </c>
      <c r="E43" s="171" t="n">
        <v>45444</v>
      </c>
      <c r="F43" s="171" t="n">
        <v>45445</v>
      </c>
      <c r="G43" s="171" t="n">
        <v>45446</v>
      </c>
      <c r="H43" s="171" t="n">
        <v>45447</v>
      </c>
      <c r="I43" s="171" t="n">
        <v>45448</v>
      </c>
      <c r="J43" s="171" t="n">
        <v>45449</v>
      </c>
      <c r="K43" s="171" t="n">
        <v>45450</v>
      </c>
      <c r="L43" s="171" t="n">
        <v>45451</v>
      </c>
      <c r="M43" s="171" t="n">
        <v>45452</v>
      </c>
      <c r="N43" s="171" t="n">
        <v>45453</v>
      </c>
      <c r="O43" s="171" t="n">
        <v>45454</v>
      </c>
      <c r="P43" s="171" t="n">
        <v>45455</v>
      </c>
      <c r="Q43" s="171" t="n">
        <v>45456</v>
      </c>
      <c r="R43" s="171" t="n">
        <v>45457</v>
      </c>
      <c r="S43" s="171" t="n">
        <v>45458</v>
      </c>
      <c r="T43" s="171" t="n">
        <v>45459</v>
      </c>
      <c r="U43" s="171" t="n">
        <v>45460</v>
      </c>
      <c r="V43" s="171" t="n">
        <v>45461</v>
      </c>
      <c r="W43" s="171" t="n">
        <v>45462</v>
      </c>
      <c r="X43" s="171" t="n">
        <v>45463</v>
      </c>
      <c r="Y43" s="171" t="n">
        <v>45464</v>
      </c>
      <c r="Z43" s="171" t="n">
        <v>45465</v>
      </c>
      <c r="AA43" s="171" t="n">
        <v>45466</v>
      </c>
      <c r="AB43" s="171" t="n">
        <v>45467</v>
      </c>
      <c r="AC43" s="171" t="n">
        <v>45468</v>
      </c>
      <c r="AD43" s="171" t="n">
        <v>45469</v>
      </c>
      <c r="AE43" s="171" t="n">
        <v>45470</v>
      </c>
      <c r="AF43" s="171" t="n">
        <v>45471</v>
      </c>
      <c r="AG43" s="171" t="n">
        <v>45472</v>
      </c>
      <c r="AH43" s="171" t="n">
        <v>45473</v>
      </c>
      <c r="AI43" s="9" t="n"/>
      <c r="AJ43" s="4" t="n"/>
    </row>
    <row r="44" ht="16.5" customHeight="1" s="757" thickBot="1">
      <c r="A44" s="10" t="inlineStr">
        <is>
          <t>GOOGLE MATINS</t>
        </is>
      </c>
      <c r="B44" s="11" t="n"/>
      <c r="C44" s="11" t="n"/>
      <c r="D44" s="12" t="n"/>
      <c r="E44" s="24" t="n"/>
      <c r="F44" s="24" t="n"/>
      <c r="G44" s="368" t="n"/>
      <c r="H44" s="354" t="n"/>
      <c r="I44" s="69" t="n"/>
      <c r="J44" s="69" t="n"/>
      <c r="K44" s="74" t="inlineStr">
        <is>
          <t>UF0323</t>
        </is>
      </c>
      <c r="L44" s="24" t="n"/>
      <c r="M44" s="24" t="n"/>
      <c r="N44" s="69" t="n"/>
      <c r="O44" s="69" t="n"/>
      <c r="P44" s="69" t="n"/>
      <c r="Q44" s="69" t="n"/>
      <c r="R44" s="69" t="n"/>
      <c r="S44" s="24" t="n"/>
      <c r="T44" s="24" t="n"/>
      <c r="U44" s="376" t="inlineStr">
        <is>
          <t>FCOS02 PABLO</t>
        </is>
      </c>
      <c r="V44" s="365" t="n"/>
      <c r="W44" s="563" t="n"/>
      <c r="X44" s="365" t="n"/>
      <c r="Y44" s="365" t="n"/>
      <c r="Z44" s="24" t="n"/>
      <c r="AA44" s="24" t="n"/>
      <c r="AB44" s="26" t="n"/>
      <c r="AC44" s="546" t="inlineStr">
        <is>
          <t>FCOO03 MONTSE</t>
        </is>
      </c>
      <c r="AD44" s="404" t="n"/>
      <c r="AE44" s="163" t="n"/>
      <c r="AG44" s="24" t="n"/>
      <c r="AH44" s="24" t="n"/>
      <c r="AI44" s="130" t="n"/>
      <c r="AJ44" s="4" t="n"/>
      <c r="AK44" s="228">
        <f>AK36+12</f>
        <v/>
      </c>
      <c r="AL44" s="646" t="inlineStr">
        <is>
          <t>0208 CEN</t>
        </is>
      </c>
      <c r="AO44" s="775" t="n"/>
      <c r="AP44" s="367" t="inlineStr">
        <is>
          <t>FCOS02 + FCOO03</t>
        </is>
      </c>
      <c r="AQ44" s="366" t="n"/>
      <c r="AR44" s="366" t="n"/>
      <c r="AS44" s="366" t="n"/>
    </row>
    <row r="45" ht="21.75" customHeight="1" s="757" thickBot="1">
      <c r="A45" s="14" t="inlineStr">
        <is>
          <t>FIREFOX MATINS</t>
        </is>
      </c>
      <c r="B45" s="15" t="n"/>
      <c r="C45" s="15" t="n"/>
      <c r="D45" s="15" t="n"/>
      <c r="E45" s="35" t="n"/>
      <c r="F45" s="35" t="n"/>
      <c r="G45" s="383" t="n"/>
      <c r="H45" s="386" t="inlineStr">
        <is>
          <t>P</t>
        </is>
      </c>
      <c r="I45" s="384" t="n"/>
      <c r="J45" s="385" t="inlineStr">
        <is>
          <t>MF0346_1</t>
        </is>
      </c>
      <c r="K45" s="234" t="n"/>
      <c r="L45" s="126" t="n"/>
      <c r="M45" s="126" t="n"/>
      <c r="N45" s="234" t="n"/>
      <c r="O45" s="234" t="n"/>
      <c r="P45" s="375" t="n"/>
      <c r="Q45" s="234" t="n"/>
      <c r="R45" s="234" t="n"/>
      <c r="S45" s="126" t="n"/>
      <c r="T45" s="126" t="n"/>
      <c r="U45" s="240" t="n"/>
      <c r="V45" s="240" t="n"/>
      <c r="W45" s="377" t="n"/>
      <c r="X45" s="347" t="n"/>
      <c r="Y45" s="391" t="inlineStr">
        <is>
          <t>FCOO03 MONTSE?</t>
        </is>
      </c>
      <c r="Z45" s="126" t="n"/>
      <c r="AA45" s="126" t="n"/>
      <c r="AB45" s="127" t="n"/>
      <c r="AC45" s="241" t="n"/>
      <c r="AD45" s="257" t="n"/>
      <c r="AE45" s="257" t="n"/>
      <c r="AF45" s="257" t="n"/>
      <c r="AG45" s="126" t="n"/>
      <c r="AH45" s="126" t="n"/>
      <c r="AI45" s="130" t="n"/>
      <c r="AJ45" s="4" t="n"/>
      <c r="AK45" s="268">
        <f>AK37+13</f>
        <v/>
      </c>
      <c r="AL45" s="738" t="inlineStr">
        <is>
          <t>005 -IMPE0108 (5H)</t>
        </is>
      </c>
      <c r="AQ45" s="742" t="inlineStr">
        <is>
          <t>017-FCO IMPE108</t>
        </is>
      </c>
      <c r="AT45" s="523" t="inlineStr">
        <is>
          <t>016- FCOI16ACTIC MIT - FOAP (5 H)</t>
        </is>
      </c>
      <c r="AU45" s="260" t="n"/>
      <c r="AV45" s="260" t="n"/>
      <c r="AW45" s="260" t="n"/>
      <c r="AX45" s="260" t="n"/>
    </row>
    <row r="46" ht="16.5" customHeight="1" s="757" thickTop="1">
      <c r="A46" s="17" t="inlineStr">
        <is>
          <t>GOOGLE TARDA</t>
        </is>
      </c>
      <c r="B46" s="18" t="n"/>
      <c r="C46" s="18" t="n"/>
      <c r="D46" s="18" t="n"/>
      <c r="E46" s="39" t="n"/>
      <c r="F46" s="39" t="n"/>
      <c r="G46" s="755" t="n"/>
      <c r="H46" s="755" t="n"/>
      <c r="I46" s="409" t="n"/>
      <c r="J46" s="755" t="n"/>
      <c r="K46" s="755" t="n"/>
      <c r="L46" s="39" t="n"/>
      <c r="M46" s="39" t="n"/>
      <c r="N46" s="755" t="n"/>
      <c r="O46" s="755" t="n"/>
      <c r="P46" s="409" t="n"/>
      <c r="Q46" s="275" t="n"/>
      <c r="R46" s="755" t="n"/>
      <c r="S46" s="39" t="n"/>
      <c r="T46" s="39" t="n"/>
      <c r="U46" s="755" t="n"/>
      <c r="V46" s="755" t="n"/>
      <c r="W46" s="409" t="n"/>
      <c r="X46" s="755" t="n"/>
      <c r="Y46" s="755" t="n"/>
      <c r="Z46" s="39" t="n"/>
      <c r="AA46" s="39" t="n"/>
      <c r="AB46" s="28" t="n"/>
      <c r="AC46" s="755" t="n"/>
      <c r="AD46" s="409" t="n"/>
      <c r="AE46" s="755" t="n"/>
      <c r="AF46" s="755" t="n"/>
      <c r="AG46" s="39" t="n"/>
      <c r="AH46" s="39" t="n"/>
      <c r="AI46" s="755" t="n"/>
      <c r="AJ46" s="4" t="n"/>
      <c r="AL46" s="741" t="inlineStr">
        <is>
          <t>COMPTABILITAT BÀSICA</t>
        </is>
      </c>
    </row>
    <row r="47" ht="18.75" customHeight="1" s="757">
      <c r="A47" s="10" t="inlineStr">
        <is>
          <t>FIREFOX TARDA</t>
        </is>
      </c>
      <c r="B47" s="11" t="n"/>
      <c r="C47" s="11" t="n"/>
      <c r="D47" s="12" t="n"/>
      <c r="E47" s="24" t="n"/>
      <c r="F47" s="24" t="n"/>
      <c r="G47" s="33" t="inlineStr">
        <is>
          <t>3-CRR</t>
        </is>
      </c>
      <c r="H47" s="33" t="n"/>
      <c r="I47" s="274" t="n"/>
      <c r="J47" s="274" t="n"/>
      <c r="K47" s="33" t="n"/>
      <c r="L47" s="24" t="n"/>
      <c r="M47" s="24" t="n"/>
      <c r="N47" s="756" t="n"/>
      <c r="O47" s="756" t="n"/>
      <c r="P47" s="756" t="n"/>
      <c r="Q47" s="756" t="n"/>
      <c r="R47" s="756" t="n"/>
      <c r="S47" s="24" t="n"/>
      <c r="T47" s="24" t="n"/>
      <c r="U47" s="756" t="n"/>
      <c r="V47" s="756" t="n"/>
      <c r="W47" s="756" t="n"/>
      <c r="X47" s="756" t="n"/>
      <c r="Y47" s="756" t="n"/>
      <c r="Z47" s="24" t="n"/>
      <c r="AA47" s="24" t="n"/>
      <c r="AB47" s="26" t="n"/>
      <c r="AC47" s="756" t="n"/>
      <c r="AD47" s="756" t="n"/>
      <c r="AE47" s="756" t="n"/>
      <c r="AF47" s="756" t="n"/>
      <c r="AG47" s="24" t="n"/>
      <c r="AH47" s="24" t="n"/>
      <c r="AI47" s="756" t="n"/>
      <c r="AJ47" s="4" t="n"/>
      <c r="AK47" s="233" t="n"/>
      <c r="AL47" s="536" t="inlineStr">
        <is>
          <t>3-OPERACIÓ CARRETONS</t>
        </is>
      </c>
      <c r="AM47" s="536" t="n"/>
      <c r="AN47" s="116" t="n"/>
      <c r="AO47" s="116" t="n"/>
      <c r="AP47" s="116" t="n"/>
      <c r="AQ47" s="774" t="n"/>
      <c r="AR47" s="774" t="n"/>
    </row>
    <row r="48" ht="15.75" customHeight="1" s="757">
      <c r="A48" s="10" t="inlineStr">
        <is>
          <t>TARRAGONA mati</t>
        </is>
      </c>
      <c r="B48" s="11" t="n"/>
      <c r="C48" s="11" t="n"/>
      <c r="D48" s="12" t="n"/>
      <c r="E48" s="24" t="n"/>
      <c r="F48" s="24" t="n"/>
      <c r="G48" s="43" t="n"/>
      <c r="H48" s="756" t="n"/>
      <c r="I48" s="43" t="n"/>
      <c r="J48" s="756" t="n"/>
      <c r="K48" s="756" t="n"/>
      <c r="L48" s="24" t="n"/>
      <c r="M48" s="24" t="n"/>
      <c r="N48" s="43" t="n"/>
      <c r="O48" s="756" t="n"/>
      <c r="P48" s="43" t="n"/>
      <c r="Q48" s="756" t="n"/>
      <c r="R48" s="756" t="n"/>
      <c r="S48" s="24" t="n"/>
      <c r="T48" s="24" t="n"/>
      <c r="U48" s="43" t="n"/>
      <c r="V48" s="756" t="n"/>
      <c r="W48" s="756" t="n"/>
      <c r="X48" s="756" t="n"/>
      <c r="Y48" s="756" t="n"/>
      <c r="Z48" s="24" t="n"/>
      <c r="AA48" s="24" t="n"/>
      <c r="AB48" s="26" t="n"/>
      <c r="AC48" s="756" t="n"/>
      <c r="AD48" s="756" t="n"/>
      <c r="AE48" s="756" t="n"/>
      <c r="AF48" s="756" t="n"/>
      <c r="AG48" s="24" t="n"/>
      <c r="AH48" s="24" t="n"/>
      <c r="AI48" s="756" t="n"/>
      <c r="AJ48" s="4" t="n"/>
      <c r="AL48" s="289" t="inlineStr">
        <is>
          <t>EAPC - ACTIC AVANÇAT</t>
        </is>
      </c>
      <c r="AM48" s="289" t="n"/>
      <c r="AN48" s="289" t="n"/>
    </row>
    <row r="49" ht="15.75" customHeight="1" s="757">
      <c r="A49" s="10" t="inlineStr">
        <is>
          <t>TARRAGONA tarda</t>
        </is>
      </c>
      <c r="B49" s="11" t="n"/>
      <c r="C49" s="11" t="n"/>
      <c r="D49" s="12" t="n"/>
      <c r="E49" s="24" t="n"/>
      <c r="F49" s="24" t="n"/>
      <c r="G49" s="756" t="n"/>
      <c r="H49" s="756" t="n"/>
      <c r="I49" s="756" t="n"/>
      <c r="J49" s="756" t="n"/>
      <c r="K49" s="756" t="n"/>
      <c r="L49" s="24" t="n"/>
      <c r="M49" s="24" t="n"/>
      <c r="N49" s="756" t="n"/>
      <c r="O49" s="756" t="n"/>
      <c r="P49" s="756" t="n"/>
      <c r="Q49" s="756" t="n"/>
      <c r="R49" s="756" t="n"/>
      <c r="S49" s="24" t="n"/>
      <c r="T49" s="24" t="n"/>
      <c r="U49" s="756" t="n"/>
      <c r="V49" s="756" t="n"/>
      <c r="W49" s="756" t="n"/>
      <c r="X49" s="756" t="n"/>
      <c r="Y49" s="756" t="n"/>
      <c r="Z49" s="24" t="n"/>
      <c r="AA49" s="24" t="n"/>
      <c r="AB49" s="26" t="n"/>
      <c r="AC49" s="756" t="n"/>
      <c r="AD49" s="756" t="n"/>
      <c r="AE49" s="756" t="n"/>
      <c r="AF49" s="756" t="n"/>
      <c r="AG49" s="24" t="n"/>
      <c r="AH49" s="24" t="n"/>
      <c r="AI49" s="756" t="n"/>
      <c r="AJ49" s="4" t="n"/>
    </row>
    <row r="50" ht="19.5" customHeight="1" s="757" thickBot="1">
      <c r="A50" s="788" t="inlineStr">
        <is>
          <t>JULIOL</t>
        </is>
      </c>
      <c r="B50" s="156" t="n"/>
      <c r="C50" s="156" t="n"/>
      <c r="D50" s="156" t="n"/>
      <c r="E50" s="156" t="n"/>
      <c r="F50" s="156" t="n"/>
      <c r="G50" s="156" t="n"/>
      <c r="H50" s="156" t="n"/>
      <c r="I50" s="156" t="n"/>
      <c r="J50" s="156" t="n"/>
      <c r="K50" s="156" t="n"/>
      <c r="L50" s="156" t="n"/>
      <c r="M50" s="156" t="n"/>
      <c r="N50" s="156" t="n"/>
      <c r="O50" s="156" t="n"/>
      <c r="P50" s="156" t="n"/>
      <c r="Q50" s="156" t="n"/>
      <c r="R50" s="156" t="n"/>
      <c r="S50" s="156" t="n"/>
      <c r="T50" s="156" t="n"/>
      <c r="U50" s="156" t="n"/>
      <c r="V50" s="156" t="n"/>
      <c r="W50" s="156" t="n"/>
      <c r="X50" s="156" t="n"/>
      <c r="Y50" s="156" t="n"/>
      <c r="Z50" s="156" t="n"/>
      <c r="AA50" s="156" t="n"/>
      <c r="AB50" s="156" t="n"/>
      <c r="AC50" s="156" t="n"/>
      <c r="AD50" s="156" t="n"/>
      <c r="AE50" s="156" t="n"/>
      <c r="AF50" s="156" t="n"/>
      <c r="AG50" s="156" t="n"/>
      <c r="AH50" s="156" t="n"/>
      <c r="AI50" s="142" t="n"/>
      <c r="AJ50" s="524" t="n">
        <v>22</v>
      </c>
      <c r="AK50">
        <f>AK42+AJ50</f>
        <v/>
      </c>
      <c r="AN50" s="572" t="n"/>
      <c r="AO50" s="572" t="n"/>
      <c r="AP50" s="774" t="n"/>
      <c r="AQ50" s="774" t="n"/>
      <c r="AR50" s="774" t="n"/>
    </row>
    <row r="51" ht="65.25" customHeight="1" s="757">
      <c r="A51" s="7" t="inlineStr">
        <is>
          <t>AULA</t>
        </is>
      </c>
      <c r="B51" s="8" t="inlineStr">
        <is>
          <t>INICI</t>
        </is>
      </c>
      <c r="C51" s="8" t="inlineStr">
        <is>
          <t>FINAL</t>
        </is>
      </c>
      <c r="D51" s="8" t="inlineStr">
        <is>
          <t>AULA</t>
        </is>
      </c>
      <c r="E51" s="171" t="n">
        <v>45474</v>
      </c>
      <c r="F51" s="171" t="n">
        <v>45475</v>
      </c>
      <c r="G51" s="171" t="n">
        <v>45476</v>
      </c>
      <c r="H51" s="171" t="n">
        <v>45477</v>
      </c>
      <c r="I51" s="171" t="n">
        <v>45478</v>
      </c>
      <c r="J51" s="171" t="n">
        <v>45479</v>
      </c>
      <c r="K51" s="171" t="n">
        <v>45480</v>
      </c>
      <c r="L51" s="171" t="n">
        <v>45481</v>
      </c>
      <c r="M51" s="171" t="n">
        <v>45482</v>
      </c>
      <c r="N51" s="171" t="n">
        <v>45483</v>
      </c>
      <c r="O51" s="171" t="n">
        <v>45484</v>
      </c>
      <c r="P51" s="171" t="n">
        <v>45485</v>
      </c>
      <c r="Q51" s="171" t="n">
        <v>45486</v>
      </c>
      <c r="R51" s="171" t="n">
        <v>45487</v>
      </c>
      <c r="S51" s="171" t="n">
        <v>45488</v>
      </c>
      <c r="T51" s="171" t="n">
        <v>45489</v>
      </c>
      <c r="U51" s="171" t="n">
        <v>45490</v>
      </c>
      <c r="V51" s="171" t="n">
        <v>45491</v>
      </c>
      <c r="W51" s="171" t="n">
        <v>45492</v>
      </c>
      <c r="X51" s="171" t="n">
        <v>45493</v>
      </c>
      <c r="Y51" s="171" t="n">
        <v>45494</v>
      </c>
      <c r="Z51" s="171" t="n">
        <v>45495</v>
      </c>
      <c r="AA51" s="171" t="n">
        <v>45496</v>
      </c>
      <c r="AB51" s="171" t="n">
        <v>45497</v>
      </c>
      <c r="AC51" s="171" t="n">
        <v>45498</v>
      </c>
      <c r="AD51" s="171" t="n">
        <v>45499</v>
      </c>
      <c r="AE51" s="171" t="n">
        <v>45500</v>
      </c>
      <c r="AF51" s="171" t="n">
        <v>45501</v>
      </c>
      <c r="AG51" s="171" t="n">
        <v>45502</v>
      </c>
      <c r="AH51" s="171" t="n">
        <v>45503</v>
      </c>
      <c r="AI51" s="171" t="n">
        <v>45504</v>
      </c>
      <c r="AJ51" s="4" t="n"/>
    </row>
    <row r="52" ht="15.75" customHeight="1" s="757">
      <c r="A52" s="10" t="inlineStr">
        <is>
          <t>GOOGLE MATINS</t>
        </is>
      </c>
      <c r="B52" s="11" t="n"/>
      <c r="C52" s="11" t="n"/>
      <c r="D52" s="122" t="n"/>
      <c r="E52" s="756" t="n"/>
      <c r="F52" s="756" t="n"/>
      <c r="G52" s="756" t="n"/>
      <c r="H52" s="756" t="n"/>
      <c r="I52" s="756" t="n"/>
      <c r="J52" s="24" t="n"/>
      <c r="K52" s="24" t="n"/>
      <c r="L52" s="756" t="n"/>
      <c r="M52" s="756" t="n"/>
      <c r="N52" s="756" t="n"/>
      <c r="O52" s="756" t="n"/>
      <c r="P52" s="756" t="n"/>
      <c r="Q52" s="24" t="n"/>
      <c r="R52" s="24" t="n"/>
      <c r="S52" s="30" t="n"/>
      <c r="T52" s="756" t="n"/>
      <c r="U52" s="756" t="n"/>
      <c r="V52" s="756" t="n"/>
      <c r="W52" s="756" t="n"/>
      <c r="X52" s="24" t="n"/>
      <c r="Y52" s="24" t="n"/>
      <c r="Z52" s="756" t="n"/>
      <c r="AA52" s="756" t="n"/>
      <c r="AB52" s="343" t="n"/>
      <c r="AC52" s="756" t="n"/>
      <c r="AD52" s="756" t="n"/>
      <c r="AE52" s="24" t="n"/>
      <c r="AF52" s="24" t="n"/>
      <c r="AG52" s="756" t="n"/>
      <c r="AH52" s="756" t="n"/>
      <c r="AI52" s="756" t="n"/>
      <c r="AJ52" s="4" t="n"/>
      <c r="AK52" s="228">
        <f>AK44+AJ50</f>
        <v/>
      </c>
      <c r="AL52" s="775" t="n"/>
      <c r="AM52" s="775" t="n"/>
      <c r="AN52" s="775" t="n"/>
      <c r="AO52" s="775" t="n"/>
    </row>
    <row r="53" ht="16.5" customHeight="1" s="757" thickBot="1">
      <c r="A53" s="14" t="inlineStr">
        <is>
          <t>FIREFOX MATINS</t>
        </is>
      </c>
      <c r="B53" s="15" t="n"/>
      <c r="C53" s="15" t="n"/>
      <c r="D53" s="15" t="n"/>
      <c r="E53" s="199" t="n"/>
      <c r="F53" s="199" t="n"/>
      <c r="G53" s="199" t="n"/>
      <c r="H53" s="199" t="n"/>
      <c r="I53" s="199" t="n"/>
      <c r="J53" s="35" t="n"/>
      <c r="K53" s="35" t="n"/>
      <c r="L53" s="778" t="n"/>
      <c r="M53" s="778" t="n"/>
      <c r="N53" s="778" t="n"/>
      <c r="O53" s="778" t="n"/>
      <c r="P53" s="778" t="n"/>
      <c r="Q53" s="35" t="n"/>
      <c r="R53" s="35" t="n"/>
      <c r="S53" s="222" t="n"/>
      <c r="T53" s="778" t="n"/>
      <c r="U53" s="778" t="n"/>
      <c r="V53" s="778" t="n"/>
      <c r="W53" s="778" t="n"/>
      <c r="X53" s="35" t="n"/>
      <c r="Y53" s="35" t="n"/>
      <c r="Z53" s="778" t="n"/>
      <c r="AA53" s="778" t="n"/>
      <c r="AB53" s="778" t="n"/>
      <c r="AC53" s="778" t="n"/>
      <c r="AD53" s="778" t="n"/>
      <c r="AE53" s="35" t="n"/>
      <c r="AF53" s="35" t="n"/>
      <c r="AG53" s="778" t="n"/>
      <c r="AH53" s="778" t="n"/>
      <c r="AI53" s="778" t="n"/>
      <c r="AJ53" s="4" t="n"/>
      <c r="AL53" s="671" t="n"/>
    </row>
    <row r="54" ht="16.5" customHeight="1" s="757" thickTop="1">
      <c r="A54" s="17" t="inlineStr">
        <is>
          <t>GOOGLE TARDA</t>
        </is>
      </c>
      <c r="B54" s="18" t="n"/>
      <c r="C54" s="18" t="n"/>
      <c r="D54" s="18" t="n"/>
      <c r="E54" s="755" t="n"/>
      <c r="F54" s="755" t="n"/>
      <c r="G54" s="409" t="n"/>
      <c r="H54" s="755" t="n"/>
      <c r="I54" s="755" t="n"/>
      <c r="J54" s="39" t="n"/>
      <c r="K54" s="39" t="n"/>
      <c r="L54" s="755" t="n"/>
      <c r="M54" s="755" t="n"/>
      <c r="N54" s="755" t="n"/>
      <c r="O54" s="755" t="n"/>
      <c r="P54" s="755" t="n"/>
      <c r="Q54" s="39" t="n"/>
      <c r="R54" s="39" t="n"/>
      <c r="S54" s="223" t="n"/>
      <c r="T54" s="755" t="n"/>
      <c r="U54" s="755" t="n"/>
      <c r="V54" s="755" t="n"/>
      <c r="W54" s="755" t="n"/>
      <c r="X54" s="39" t="n"/>
      <c r="Y54" s="39" t="n"/>
      <c r="Z54" s="755" t="n"/>
      <c r="AA54" s="755" t="n"/>
      <c r="AB54" s="755" t="n"/>
      <c r="AC54" s="755" t="n"/>
      <c r="AD54" s="755" t="n"/>
      <c r="AE54" s="39" t="n"/>
      <c r="AF54" s="39" t="n"/>
      <c r="AG54" s="755" t="n"/>
      <c r="AH54" s="755" t="n"/>
      <c r="AI54" s="755" t="n"/>
      <c r="AJ54" s="4" t="n"/>
      <c r="AL54" s="741" t="inlineStr">
        <is>
          <t>COMPTABILITAT BÀSICA</t>
        </is>
      </c>
    </row>
    <row r="55" ht="15.75" customHeight="1" s="757">
      <c r="A55" s="10" t="inlineStr">
        <is>
          <t>FIREFOX TARDA</t>
        </is>
      </c>
      <c r="B55" s="11" t="n"/>
      <c r="C55" s="11" t="n"/>
      <c r="D55" s="12" t="n"/>
      <c r="E55" s="756" t="n"/>
      <c r="F55" s="756" t="n"/>
      <c r="G55" s="756" t="n"/>
      <c r="H55" s="756" t="n"/>
      <c r="I55" s="756" t="n"/>
      <c r="J55" s="24" t="n"/>
      <c r="K55" s="24" t="n"/>
      <c r="L55" s="756" t="n"/>
      <c r="M55" s="756" t="n"/>
      <c r="N55" s="756" t="n"/>
      <c r="O55" s="756" t="n"/>
      <c r="P55" s="756" t="n"/>
      <c r="Q55" s="24" t="n"/>
      <c r="R55" s="24" t="n"/>
      <c r="S55" s="30" t="n"/>
      <c r="T55" s="756" t="n"/>
      <c r="U55" s="756" t="n"/>
      <c r="V55" s="756" t="n"/>
      <c r="W55" s="756" t="n"/>
      <c r="X55" s="24" t="n"/>
      <c r="Y55" s="24" t="n"/>
      <c r="Z55" s="756" t="n"/>
      <c r="AA55" s="756" t="n"/>
      <c r="AB55" s="756" t="n"/>
      <c r="AC55" s="756" t="n"/>
      <c r="AD55" s="756" t="n"/>
      <c r="AE55" s="24" t="n"/>
      <c r="AF55" s="24" t="n"/>
      <c r="AG55" s="756" t="n"/>
      <c r="AH55" s="756" t="n"/>
      <c r="AI55" s="756" t="n"/>
      <c r="AJ55" s="4" t="n"/>
    </row>
    <row r="56" ht="15.75" customHeight="1" s="757">
      <c r="A56" s="10" t="inlineStr">
        <is>
          <t>TARRAGONA mati</t>
        </is>
      </c>
      <c r="B56" s="11" t="n"/>
      <c r="C56" s="11" t="n"/>
      <c r="D56" s="12" t="n"/>
      <c r="E56" s="756" t="n"/>
      <c r="F56" s="756" t="n"/>
      <c r="G56" s="756" t="n"/>
      <c r="H56" s="756" t="n"/>
      <c r="I56" s="756" t="n"/>
      <c r="J56" s="24" t="n"/>
      <c r="K56" s="24" t="n"/>
      <c r="L56" s="756" t="n"/>
      <c r="M56" s="756" t="n"/>
      <c r="N56" s="756" t="n"/>
      <c r="O56" s="756" t="n"/>
      <c r="P56" s="756" t="n"/>
      <c r="Q56" s="24" t="n"/>
      <c r="R56" s="24" t="n"/>
      <c r="S56" s="30" t="n"/>
      <c r="T56" s="756" t="n"/>
      <c r="U56" s="756" t="n"/>
      <c r="V56" s="756" t="n"/>
      <c r="W56" s="756" t="n"/>
      <c r="X56" s="24" t="n"/>
      <c r="Y56" s="24" t="n"/>
      <c r="Z56" s="756" t="n"/>
      <c r="AA56" s="756" t="n"/>
      <c r="AB56" s="756" t="n"/>
      <c r="AC56" s="756" t="n"/>
      <c r="AD56" s="756" t="n"/>
      <c r="AE56" s="24" t="n"/>
      <c r="AF56" s="24" t="n"/>
      <c r="AG56" s="756" t="n"/>
      <c r="AH56" s="756" t="n"/>
      <c r="AI56" s="756" t="n"/>
      <c r="AJ56" s="4" t="n"/>
    </row>
    <row r="57" ht="15.75" customHeight="1" s="757">
      <c r="A57" s="10" t="inlineStr">
        <is>
          <t>TARRAGONA tarda</t>
        </is>
      </c>
      <c r="B57" s="11" t="n"/>
      <c r="C57" s="11" t="n"/>
      <c r="D57" s="12" t="n"/>
      <c r="E57" s="756" t="n"/>
      <c r="F57" s="756" t="n"/>
      <c r="G57" s="756" t="n"/>
      <c r="H57" s="756" t="n"/>
      <c r="I57" s="756" t="n"/>
      <c r="J57" s="24" t="n"/>
      <c r="K57" s="24" t="n"/>
      <c r="L57" s="756" t="n"/>
      <c r="M57" s="756" t="n"/>
      <c r="N57" s="756" t="n"/>
      <c r="O57" s="756" t="n"/>
      <c r="P57" s="756" t="n"/>
      <c r="Q57" s="24" t="n"/>
      <c r="R57" s="24" t="n"/>
      <c r="S57" s="30" t="n"/>
      <c r="T57" s="756" t="n"/>
      <c r="U57" s="756" t="n"/>
      <c r="V57" s="756" t="n"/>
      <c r="W57" s="756" t="n"/>
      <c r="X57" s="24" t="n"/>
      <c r="Y57" s="24" t="n"/>
      <c r="Z57" s="756" t="n"/>
      <c r="AA57" s="756" t="n"/>
      <c r="AB57" s="756" t="n"/>
      <c r="AC57" s="756" t="n"/>
      <c r="AD57" s="756" t="n"/>
      <c r="AE57" s="24" t="n"/>
      <c r="AF57" s="24" t="n"/>
      <c r="AG57" s="756" t="n"/>
      <c r="AH57" s="756" t="n"/>
      <c r="AI57" s="756" t="n"/>
      <c r="AJ57" s="4" t="n"/>
    </row>
    <row r="58" ht="19.5" customHeight="1" s="757" thickBot="1">
      <c r="A58" s="788" t="inlineStr">
        <is>
          <t>AGOST</t>
        </is>
      </c>
      <c r="B58" s="156" t="n"/>
      <c r="C58" s="156" t="n"/>
      <c r="D58" s="156" t="n"/>
      <c r="E58" s="156" t="n"/>
      <c r="F58" s="156" t="n"/>
      <c r="G58" s="156" t="n"/>
      <c r="H58" s="156" t="n"/>
      <c r="I58" s="156" t="n"/>
      <c r="J58" s="156" t="n"/>
      <c r="K58" s="156" t="n"/>
      <c r="L58" s="156" t="n"/>
      <c r="M58" s="156" t="n"/>
      <c r="N58" s="156" t="n"/>
      <c r="O58" s="156" t="n"/>
      <c r="P58" s="156" t="n"/>
      <c r="Q58" s="156" t="n"/>
      <c r="R58" s="156" t="n"/>
      <c r="S58" s="156" t="n"/>
      <c r="T58" s="156" t="n"/>
      <c r="U58" s="156" t="n"/>
      <c r="V58" s="156" t="n"/>
      <c r="W58" s="156" t="n"/>
      <c r="X58" s="156" t="n"/>
      <c r="Y58" s="156" t="n"/>
      <c r="Z58" s="156" t="n"/>
      <c r="AA58" s="156" t="n"/>
      <c r="AB58" s="156" t="n"/>
      <c r="AC58" s="156" t="n"/>
      <c r="AD58" s="156" t="n"/>
      <c r="AE58" s="156" t="n"/>
      <c r="AF58" s="156" t="n"/>
      <c r="AG58" s="156" t="n"/>
      <c r="AH58" s="156" t="n"/>
      <c r="AI58" s="142" t="n"/>
      <c r="AJ58" s="524" t="n">
        <v>7</v>
      </c>
      <c r="AK58">
        <f>AK50+AJ58</f>
        <v/>
      </c>
    </row>
    <row r="59" ht="64.5" customHeight="1" s="757">
      <c r="A59" s="7" t="inlineStr">
        <is>
          <t>AULA</t>
        </is>
      </c>
      <c r="B59" s="8" t="inlineStr">
        <is>
          <t>INICI</t>
        </is>
      </c>
      <c r="C59" s="8" t="inlineStr">
        <is>
          <t>FINAL</t>
        </is>
      </c>
      <c r="D59" s="8" t="inlineStr">
        <is>
          <t>AULA</t>
        </is>
      </c>
      <c r="E59" s="9" t="n">
        <v>45505</v>
      </c>
      <c r="F59" s="9" t="n">
        <v>45506</v>
      </c>
      <c r="G59" s="9" t="n">
        <v>45507</v>
      </c>
      <c r="H59" s="9" t="n">
        <v>45508</v>
      </c>
      <c r="I59" s="9" t="n">
        <v>45509</v>
      </c>
      <c r="J59" s="9" t="n">
        <v>45510</v>
      </c>
      <c r="K59" s="9" t="n">
        <v>45511</v>
      </c>
      <c r="L59" s="9" t="n">
        <v>45512</v>
      </c>
      <c r="M59" s="9" t="n">
        <v>45513</v>
      </c>
      <c r="N59" s="9" t="n">
        <v>45514</v>
      </c>
      <c r="O59" s="9" t="n">
        <v>45515</v>
      </c>
      <c r="P59" s="9" t="n">
        <v>45516</v>
      </c>
      <c r="Q59" s="9" t="n">
        <v>45517</v>
      </c>
      <c r="R59" s="9" t="n">
        <v>45518</v>
      </c>
      <c r="S59" s="9" t="n">
        <v>45519</v>
      </c>
      <c r="T59" s="9" t="n">
        <v>45520</v>
      </c>
      <c r="U59" s="9" t="n">
        <v>45521</v>
      </c>
      <c r="V59" s="9" t="n">
        <v>45522</v>
      </c>
      <c r="W59" s="9" t="n">
        <v>45523</v>
      </c>
      <c r="X59" s="9" t="n">
        <v>45524</v>
      </c>
      <c r="Y59" s="9" t="n">
        <v>45525</v>
      </c>
      <c r="Z59" s="9" t="n">
        <v>45526</v>
      </c>
      <c r="AA59" s="9" t="n">
        <v>45527</v>
      </c>
      <c r="AB59" s="9" t="n">
        <v>45528</v>
      </c>
      <c r="AC59" s="9" t="n">
        <v>45529</v>
      </c>
      <c r="AD59" s="9" t="n">
        <v>45530</v>
      </c>
      <c r="AE59" s="9" t="n">
        <v>45531</v>
      </c>
      <c r="AF59" s="9" t="n">
        <v>45532</v>
      </c>
      <c r="AG59" s="9" t="n">
        <v>45533</v>
      </c>
      <c r="AH59" s="9" t="n">
        <v>45534</v>
      </c>
      <c r="AI59" s="9" t="n">
        <v>45535</v>
      </c>
      <c r="AJ59" s="4" t="n"/>
    </row>
    <row r="60" ht="15.75" customHeight="1" s="757">
      <c r="A60" s="10" t="inlineStr">
        <is>
          <t>GOOGLE MATINS</t>
        </is>
      </c>
      <c r="B60" s="11" t="n"/>
      <c r="C60" s="11" t="n"/>
      <c r="D60" s="12" t="n"/>
      <c r="E60" s="756" t="n"/>
      <c r="F60" s="756" t="n"/>
      <c r="G60" s="24" t="n"/>
      <c r="H60" s="24" t="n"/>
      <c r="I60" s="69" t="n"/>
      <c r="J60" s="69" t="n"/>
      <c r="K60" s="69" t="n"/>
      <c r="L60" s="69" t="n"/>
      <c r="M60" s="69" t="n"/>
      <c r="N60" s="24" t="n"/>
      <c r="O60" s="24" t="n"/>
      <c r="P60" s="69" t="n"/>
      <c r="Q60" s="69" t="n"/>
      <c r="R60" s="69" t="n"/>
      <c r="S60" s="69" t="n"/>
      <c r="T60" s="69" t="n"/>
      <c r="U60" s="24" t="n"/>
      <c r="V60" s="24" t="n"/>
      <c r="W60" s="69" t="n"/>
      <c r="X60" s="69" t="n"/>
      <c r="Y60" s="69" t="n"/>
      <c r="Z60" s="69" t="n"/>
      <c r="AA60" s="69" t="n"/>
      <c r="AB60" s="24" t="n"/>
      <c r="AC60" s="24" t="n"/>
      <c r="AD60" s="756" t="n"/>
      <c r="AE60" s="756" t="n"/>
      <c r="AF60" s="343" t="n"/>
      <c r="AG60" s="756" t="n"/>
      <c r="AH60" s="756" t="n"/>
      <c r="AI60" s="24" t="n"/>
      <c r="AJ60" s="4" t="n"/>
      <c r="AK60" s="228">
        <f>AK52+AJ58</f>
        <v/>
      </c>
      <c r="AL60" s="775" t="n"/>
      <c r="AM60" s="775" t="n"/>
      <c r="AN60" s="775" t="n"/>
      <c r="AO60" s="775" t="n"/>
    </row>
    <row r="61" ht="16.5" customHeight="1" s="757" thickBot="1">
      <c r="A61" s="14" t="inlineStr">
        <is>
          <t>FIREFOX MATINS</t>
        </is>
      </c>
      <c r="B61" s="15" t="n"/>
      <c r="C61" s="15" t="n"/>
      <c r="D61" s="15" t="n"/>
      <c r="E61" s="778" t="n"/>
      <c r="F61" s="778" t="n"/>
      <c r="G61" s="35" t="n"/>
      <c r="H61" s="35" t="n"/>
      <c r="I61" s="224" t="n"/>
      <c r="J61" s="224" t="n"/>
      <c r="K61" s="224" t="n"/>
      <c r="L61" s="224" t="n"/>
      <c r="M61" s="224" t="n"/>
      <c r="N61" s="35" t="n"/>
      <c r="O61" s="35" t="n"/>
      <c r="P61" s="224" t="n"/>
      <c r="Q61" s="224" t="n"/>
      <c r="R61" s="224" t="n"/>
      <c r="S61" s="224" t="n"/>
      <c r="T61" s="224" t="n"/>
      <c r="U61" s="35" t="n"/>
      <c r="V61" s="35" t="n"/>
      <c r="W61" s="224" t="n"/>
      <c r="X61" s="224" t="n"/>
      <c r="Y61" s="224" t="n"/>
      <c r="Z61" s="224" t="n"/>
      <c r="AA61" s="224" t="n"/>
      <c r="AB61" s="35" t="n"/>
      <c r="AC61" s="35" t="n"/>
      <c r="AD61" s="778" t="n"/>
      <c r="AE61" s="778" t="n"/>
      <c r="AF61" s="778" t="n"/>
      <c r="AG61" s="778" t="n"/>
      <c r="AH61" s="778" t="n"/>
      <c r="AI61" s="35" t="n"/>
      <c r="AJ61" s="4" t="n"/>
    </row>
    <row r="62" ht="16.5" customHeight="1" s="757" thickTop="1">
      <c r="A62" s="17" t="inlineStr">
        <is>
          <t>GOOGLE TARDA</t>
        </is>
      </c>
      <c r="B62" s="18" t="n"/>
      <c r="C62" s="18" t="n"/>
      <c r="D62" s="18" t="n"/>
      <c r="E62" s="755" t="n"/>
      <c r="F62" s="755" t="n"/>
      <c r="G62" s="39" t="n"/>
      <c r="H62" s="39" t="n"/>
      <c r="I62" s="135" t="n"/>
      <c r="J62" s="135" t="n"/>
      <c r="K62" s="135" t="n"/>
      <c r="L62" s="135" t="n"/>
      <c r="M62" s="135" t="n"/>
      <c r="N62" s="39" t="n"/>
      <c r="O62" s="39" t="n"/>
      <c r="P62" s="135" t="n"/>
      <c r="Q62" s="135" t="n"/>
      <c r="R62" s="135" t="n"/>
      <c r="S62" s="135" t="n"/>
      <c r="T62" s="135" t="n"/>
      <c r="U62" s="39" t="n"/>
      <c r="V62" s="39" t="n"/>
      <c r="W62" s="135" t="n"/>
      <c r="X62" s="135" t="n"/>
      <c r="Y62" s="135" t="n"/>
      <c r="Z62" s="135" t="n"/>
      <c r="AA62" s="135" t="n"/>
      <c r="AB62" s="39" t="n"/>
      <c r="AC62" s="39" t="n"/>
      <c r="AD62" s="755" t="n"/>
      <c r="AE62" s="755" t="n"/>
      <c r="AF62" s="755" t="n"/>
      <c r="AG62" s="755" t="n"/>
      <c r="AH62" s="755" t="n"/>
      <c r="AI62" s="39" t="n"/>
      <c r="AJ62" s="4" t="n"/>
    </row>
    <row r="63" ht="15.75" customHeight="1" s="757">
      <c r="A63" s="10" t="inlineStr">
        <is>
          <t>FIREFOX TARDA</t>
        </is>
      </c>
      <c r="B63" s="11" t="n"/>
      <c r="C63" s="11" t="n"/>
      <c r="D63" s="12" t="n"/>
      <c r="E63" s="756" t="n"/>
      <c r="F63" s="756" t="n"/>
      <c r="G63" s="24" t="n"/>
      <c r="H63" s="24" t="n"/>
      <c r="I63" s="69" t="n"/>
      <c r="J63" s="69" t="n"/>
      <c r="K63" s="69" t="n"/>
      <c r="L63" s="69" t="n"/>
      <c r="M63" s="69" t="n"/>
      <c r="N63" s="24" t="n"/>
      <c r="O63" s="24" t="n"/>
      <c r="P63" s="69" t="n"/>
      <c r="Q63" s="69" t="n"/>
      <c r="R63" s="69" t="n"/>
      <c r="S63" s="69" t="n"/>
      <c r="T63" s="69" t="n"/>
      <c r="U63" s="24" t="n"/>
      <c r="V63" s="24" t="n"/>
      <c r="W63" s="69" t="n"/>
      <c r="X63" s="69" t="n"/>
      <c r="Y63" s="69" t="n"/>
      <c r="Z63" s="69" t="n"/>
      <c r="AA63" s="69" t="n"/>
      <c r="AB63" s="24" t="n"/>
      <c r="AC63" s="24" t="n"/>
      <c r="AD63" s="756" t="n"/>
      <c r="AE63" s="756" t="n"/>
      <c r="AF63" s="756" t="n"/>
      <c r="AG63" s="756" t="n"/>
      <c r="AH63" s="756" t="n"/>
      <c r="AI63" s="24" t="n"/>
      <c r="AJ63" s="4" t="n"/>
    </row>
    <row r="64" ht="15.75" customHeight="1" s="757">
      <c r="A64" s="10" t="inlineStr">
        <is>
          <t>TARRAGONA matí</t>
        </is>
      </c>
      <c r="B64" s="11" t="n"/>
      <c r="C64" s="11" t="n"/>
      <c r="D64" s="12" t="n"/>
      <c r="E64" s="756" t="n"/>
      <c r="F64" s="756" t="n"/>
      <c r="G64" s="24" t="n"/>
      <c r="H64" s="24" t="n"/>
      <c r="I64" s="69" t="n"/>
      <c r="J64" s="69" t="n"/>
      <c r="K64" s="69" t="n"/>
      <c r="L64" s="69" t="n"/>
      <c r="M64" s="69" t="n"/>
      <c r="N64" s="24" t="n"/>
      <c r="O64" s="24" t="n"/>
      <c r="P64" s="69" t="n"/>
      <c r="Q64" s="69" t="n"/>
      <c r="R64" s="69" t="n"/>
      <c r="S64" s="69" t="n"/>
      <c r="T64" s="69" t="n"/>
      <c r="U64" s="24" t="n"/>
      <c r="V64" s="24" t="n"/>
      <c r="W64" s="69" t="n"/>
      <c r="X64" s="69" t="n"/>
      <c r="Y64" s="69" t="n"/>
      <c r="Z64" s="69" t="n"/>
      <c r="AA64" s="69" t="n"/>
      <c r="AB64" s="24" t="n"/>
      <c r="AC64" s="24" t="n"/>
      <c r="AD64" s="756" t="n"/>
      <c r="AE64" s="756" t="n"/>
      <c r="AF64" s="756" t="n"/>
      <c r="AG64" s="756" t="n"/>
      <c r="AH64" s="756" t="n"/>
      <c r="AI64" s="24" t="n"/>
      <c r="AJ64" s="4" t="n"/>
    </row>
    <row r="65" ht="15.75" customHeight="1" s="757">
      <c r="A65" s="10" t="inlineStr">
        <is>
          <t>TARRAGONA tarda</t>
        </is>
      </c>
      <c r="B65" s="11" t="n"/>
      <c r="C65" s="11" t="n"/>
      <c r="D65" s="12" t="n"/>
      <c r="E65" s="756" t="n"/>
      <c r="F65" s="756" t="n"/>
      <c r="G65" s="24" t="n"/>
      <c r="H65" s="24" t="n"/>
      <c r="I65" s="69" t="n"/>
      <c r="J65" s="69" t="n"/>
      <c r="K65" s="69" t="n"/>
      <c r="L65" s="69" t="n"/>
      <c r="M65" s="69" t="n"/>
      <c r="N65" s="24" t="n"/>
      <c r="O65" s="24" t="n"/>
      <c r="P65" s="69" t="n"/>
      <c r="Q65" s="69" t="n"/>
      <c r="R65" s="69" t="n"/>
      <c r="S65" s="69" t="n"/>
      <c r="T65" s="69" t="n"/>
      <c r="U65" s="24" t="n"/>
      <c r="V65" s="24" t="n"/>
      <c r="W65" s="69" t="n"/>
      <c r="X65" s="69" t="n"/>
      <c r="Y65" s="69" t="n"/>
      <c r="Z65" s="69" t="n"/>
      <c r="AA65" s="69" t="n"/>
      <c r="AB65" s="24" t="n"/>
      <c r="AC65" s="24" t="n"/>
      <c r="AD65" s="756" t="n"/>
      <c r="AE65" s="756" t="n"/>
      <c r="AF65" s="756" t="n"/>
      <c r="AG65" s="756" t="n"/>
      <c r="AH65" s="756" t="n"/>
      <c r="AI65" s="24" t="n"/>
      <c r="AJ65" s="4" t="n"/>
    </row>
    <row r="66" ht="19.5" customHeight="1" s="757" thickBot="1">
      <c r="A66" s="788" t="inlineStr">
        <is>
          <t>SETEMBRE</t>
        </is>
      </c>
      <c r="B66" s="156" t="n"/>
      <c r="C66" s="156" t="n"/>
      <c r="D66" s="156" t="n"/>
      <c r="E66" s="156" t="n"/>
      <c r="F66" s="156" t="n"/>
      <c r="G66" s="156" t="n"/>
      <c r="H66" s="156" t="n"/>
      <c r="I66" s="156" t="n"/>
      <c r="J66" s="156" t="n"/>
      <c r="K66" s="156" t="n"/>
      <c r="L66" s="156" t="n"/>
      <c r="M66" s="156" t="n"/>
      <c r="N66" s="156" t="n"/>
      <c r="O66" s="156" t="n"/>
      <c r="P66" s="156" t="n"/>
      <c r="Q66" s="156" t="n"/>
      <c r="R66" s="156" t="n"/>
      <c r="S66" s="156" t="n"/>
      <c r="T66" s="156" t="n"/>
      <c r="U66" s="156" t="n"/>
      <c r="V66" s="156" t="n"/>
      <c r="W66" s="156" t="n"/>
      <c r="X66" s="156" t="n"/>
      <c r="Y66" s="156" t="n"/>
      <c r="Z66" s="156" t="n"/>
      <c r="AA66" s="156" t="n"/>
      <c r="AB66" s="156" t="n"/>
      <c r="AC66" s="156" t="n"/>
      <c r="AD66" s="156" t="n"/>
      <c r="AE66" s="156" t="n"/>
      <c r="AF66" s="156" t="n"/>
      <c r="AG66" s="156" t="n"/>
      <c r="AH66" s="156" t="n"/>
      <c r="AI66" s="142" t="n"/>
      <c r="AJ66" s="524" t="n">
        <v>19</v>
      </c>
      <c r="AK66">
        <f>AK58+AJ66</f>
        <v/>
      </c>
    </row>
    <row r="67" ht="64.5" customHeight="1" s="757">
      <c r="A67" s="7" t="inlineStr">
        <is>
          <t>AULA</t>
        </is>
      </c>
      <c r="B67" s="8" t="inlineStr">
        <is>
          <t>INICI</t>
        </is>
      </c>
      <c r="C67" s="8" t="inlineStr">
        <is>
          <t>FINAL</t>
        </is>
      </c>
      <c r="D67" s="8" t="inlineStr">
        <is>
          <t>AULA</t>
        </is>
      </c>
      <c r="E67" s="9" t="n">
        <v>45536</v>
      </c>
      <c r="F67" s="171" t="n">
        <v>45537</v>
      </c>
      <c r="G67" s="171" t="n">
        <v>45538</v>
      </c>
      <c r="H67" s="171" t="n">
        <v>45539</v>
      </c>
      <c r="I67" s="171" t="n">
        <v>45540</v>
      </c>
      <c r="J67" s="171" t="n">
        <v>45541</v>
      </c>
      <c r="K67" s="171" t="n">
        <v>45542</v>
      </c>
      <c r="L67" s="171" t="n">
        <v>45543</v>
      </c>
      <c r="M67" s="171" t="n">
        <v>45544</v>
      </c>
      <c r="N67" s="171" t="n">
        <v>45545</v>
      </c>
      <c r="O67" s="171" t="n">
        <v>45546</v>
      </c>
      <c r="P67" s="171" t="n">
        <v>45547</v>
      </c>
      <c r="Q67" s="171" t="n">
        <v>45548</v>
      </c>
      <c r="R67" s="171" t="n">
        <v>45549</v>
      </c>
      <c r="S67" s="171" t="n">
        <v>45550</v>
      </c>
      <c r="T67" s="171" t="n">
        <v>45551</v>
      </c>
      <c r="U67" s="171" t="n">
        <v>45552</v>
      </c>
      <c r="V67" s="171" t="n">
        <v>45553</v>
      </c>
      <c r="W67" s="171" t="n">
        <v>45554</v>
      </c>
      <c r="X67" s="171" t="n">
        <v>45555</v>
      </c>
      <c r="Y67" s="171" t="n">
        <v>45556</v>
      </c>
      <c r="Z67" s="171" t="n">
        <v>45557</v>
      </c>
      <c r="AA67" s="171" t="n">
        <v>45558</v>
      </c>
      <c r="AB67" s="171" t="n">
        <v>45559</v>
      </c>
      <c r="AC67" s="171" t="n">
        <v>45560</v>
      </c>
      <c r="AD67" s="171" t="n">
        <v>45561</v>
      </c>
      <c r="AE67" s="171" t="n">
        <v>45562</v>
      </c>
      <c r="AF67" s="171" t="n">
        <v>45563</v>
      </c>
      <c r="AG67" s="171" t="n">
        <v>45564</v>
      </c>
      <c r="AH67" s="171" t="n">
        <v>45565</v>
      </c>
      <c r="AI67" s="9" t="n"/>
      <c r="AJ67" s="4" t="n"/>
    </row>
    <row r="68" ht="15.75" customHeight="1" s="757">
      <c r="A68" s="10" t="inlineStr">
        <is>
          <t>GOOGLE MATINS</t>
        </is>
      </c>
      <c r="B68" s="11" t="n"/>
      <c r="C68" s="11" t="n"/>
      <c r="D68" s="12" t="n"/>
      <c r="E68" s="24" t="n"/>
      <c r="F68" s="756" t="n"/>
      <c r="G68" s="756" t="n"/>
      <c r="H68" s="756" t="n"/>
      <c r="I68" s="756" t="n"/>
      <c r="J68" s="756" t="n"/>
      <c r="K68" s="24" t="n"/>
      <c r="L68" s="24" t="n"/>
      <c r="M68" s="756" t="n"/>
      <c r="N68" s="756" t="n"/>
      <c r="O68" s="26" t="n"/>
      <c r="P68" s="756" t="n"/>
      <c r="Q68" s="756" t="n"/>
      <c r="R68" s="24" t="n"/>
      <c r="S68" s="24" t="n"/>
      <c r="T68" s="756" t="n"/>
      <c r="U68" s="756" t="n"/>
      <c r="V68" s="530" t="n"/>
      <c r="W68" s="358" t="n"/>
      <c r="X68" s="756" t="n"/>
      <c r="Y68" s="24" t="n"/>
      <c r="Z68" s="329" t="n"/>
      <c r="AA68" s="756" t="n"/>
      <c r="AB68" s="344" t="n"/>
      <c r="AC68" s="756" t="n"/>
      <c r="AD68" s="344" t="n"/>
      <c r="AE68" s="756" t="n"/>
      <c r="AF68" s="24" t="n"/>
      <c r="AG68" s="24" t="n"/>
      <c r="AH68" s="756" t="n"/>
      <c r="AI68" s="756" t="n"/>
      <c r="AJ68" s="4" t="n"/>
      <c r="AK68" s="228">
        <f>AK60+AJ66</f>
        <v/>
      </c>
      <c r="AL68" s="775" t="n"/>
      <c r="AM68" s="775" t="n"/>
      <c r="AN68" s="775" t="n"/>
      <c r="AO68" s="775" t="n"/>
    </row>
    <row r="69" ht="16.5" customHeight="1" s="757" thickBot="1">
      <c r="A69" s="14" t="inlineStr">
        <is>
          <t>FIREFOX MATINS</t>
        </is>
      </c>
      <c r="B69" s="15" t="n"/>
      <c r="C69" s="15" t="n"/>
      <c r="D69" s="15" t="n"/>
      <c r="E69" s="35" t="n"/>
      <c r="F69" s="346" t="n"/>
      <c r="G69" s="130" t="n"/>
      <c r="H69" s="130" t="n"/>
      <c r="I69" s="130" t="n"/>
      <c r="J69" s="130" t="n"/>
      <c r="K69" s="126" t="n"/>
      <c r="L69" s="126" t="n"/>
      <c r="M69" s="130" t="n"/>
      <c r="N69" s="347" t="n"/>
      <c r="O69" s="306" t="n"/>
      <c r="P69" s="348" t="n"/>
      <c r="Q69" s="130" t="n"/>
      <c r="R69" s="126" t="n"/>
      <c r="S69" s="126" t="n"/>
      <c r="T69" s="130" t="n"/>
      <c r="U69" s="130" t="n"/>
      <c r="V69" s="130" t="n"/>
      <c r="W69" s="130" t="n"/>
      <c r="X69" s="130" t="n"/>
      <c r="Y69" s="126" t="n"/>
      <c r="Z69" s="126" t="n"/>
      <c r="AA69" s="130" t="n"/>
      <c r="AB69" s="130" t="n"/>
      <c r="AC69" s="130" t="n"/>
      <c r="AD69" s="130" t="n"/>
      <c r="AE69" s="347" t="n"/>
      <c r="AF69" s="310" t="n"/>
      <c r="AG69" s="126" t="n"/>
      <c r="AH69" s="348" t="n"/>
      <c r="AI69" s="778" t="n"/>
      <c r="AJ69" s="4" t="n"/>
      <c r="AK69" t="n">
        <v>19</v>
      </c>
      <c r="AL69" s="736" t="n"/>
    </row>
    <row r="70" ht="16.5" customHeight="1" s="757" thickTop="1">
      <c r="A70" s="17" t="inlineStr">
        <is>
          <t>GOOGLE TARDA</t>
        </is>
      </c>
      <c r="B70" s="18" t="n"/>
      <c r="C70" s="18" t="n"/>
      <c r="D70" s="18" t="n"/>
      <c r="E70" s="39" t="n"/>
      <c r="F70" s="617" t="inlineStr">
        <is>
          <t>FCOV05</t>
        </is>
      </c>
      <c r="G70" s="237" t="n"/>
      <c r="H70" s="237" t="n"/>
      <c r="I70" s="237" t="n"/>
      <c r="J70" s="237" t="n"/>
      <c r="K70" s="39" t="n"/>
      <c r="L70" s="39" t="n"/>
      <c r="M70" s="237" t="n"/>
      <c r="N70" s="237" t="n"/>
      <c r="O70" s="28" t="n"/>
      <c r="P70" s="237" t="n"/>
      <c r="Q70" s="237" t="n"/>
      <c r="R70" s="39" t="n"/>
      <c r="S70" s="39" t="n"/>
      <c r="T70" s="237" t="n"/>
      <c r="U70" s="237" t="n"/>
      <c r="V70" s="237" t="n"/>
      <c r="W70" s="237" t="n"/>
      <c r="X70" s="237" t="n"/>
      <c r="Y70" s="39" t="n"/>
      <c r="Z70" s="39" t="n"/>
      <c r="AA70" s="237" t="n"/>
      <c r="AB70" s="237" t="n"/>
      <c r="AC70" s="237" t="n"/>
      <c r="AD70" s="237" t="n"/>
      <c r="AE70" s="237" t="n"/>
      <c r="AF70" s="39" t="n"/>
      <c r="AG70" s="39" t="n"/>
      <c r="AH70" s="237" t="n"/>
      <c r="AI70" s="755" t="n"/>
      <c r="AJ70" s="4" t="n"/>
      <c r="AK70" t="n">
        <v>19</v>
      </c>
      <c r="AL70" s="618" t="inlineStr">
        <is>
          <t>014-FCOV05 ANGLES (2ªED) 5H</t>
        </is>
      </c>
      <c r="AM70" s="609" t="n"/>
      <c r="AN70" s="609" t="n"/>
      <c r="AO70" s="609" t="n"/>
      <c r="AP70" s="609" t="n"/>
      <c r="AQ70" s="262" t="n"/>
      <c r="AR70" s="775" t="n"/>
    </row>
    <row r="71" ht="15.75" customHeight="1" s="757">
      <c r="A71" s="10" t="inlineStr">
        <is>
          <t>FIREFOX TARDA</t>
        </is>
      </c>
      <c r="B71" s="11" t="n"/>
      <c r="C71" s="11" t="n"/>
      <c r="D71" s="12" t="n"/>
      <c r="E71" s="24" t="n"/>
      <c r="F71" s="755" t="n"/>
      <c r="G71" s="755" t="n"/>
      <c r="H71" s="755" t="n"/>
      <c r="I71" s="755" t="n"/>
      <c r="J71" s="755" t="n"/>
      <c r="K71" s="39" t="n"/>
      <c r="L71" s="39" t="n"/>
      <c r="M71" s="755" t="n"/>
      <c r="N71" s="755" t="n"/>
      <c r="O71" s="28" t="n"/>
      <c r="P71" s="755" t="n"/>
      <c r="Q71" s="755" t="n"/>
      <c r="R71" s="39" t="n"/>
      <c r="S71" s="39" t="n"/>
      <c r="T71" s="33" t="inlineStr">
        <is>
          <t>4-CRR</t>
        </is>
      </c>
      <c r="U71" s="33" t="n"/>
      <c r="V71" s="274" t="n"/>
      <c r="W71" s="274" t="n"/>
      <c r="X71" s="33" t="n"/>
      <c r="Y71" s="39" t="n"/>
      <c r="Z71" s="39" t="n"/>
      <c r="AA71" s="755" t="n"/>
      <c r="AB71" s="755" t="n"/>
      <c r="AC71" s="755" t="n"/>
      <c r="AD71" s="755" t="n"/>
      <c r="AE71" s="755" t="n"/>
      <c r="AF71" s="39" t="n"/>
      <c r="AG71" s="39" t="n"/>
      <c r="AH71" s="755" t="n"/>
      <c r="AI71" s="756" t="n"/>
      <c r="AJ71" s="4" t="n"/>
      <c r="AL71" s="661" t="inlineStr">
        <is>
          <t>4-OPERACIÓ CARRETONS</t>
        </is>
      </c>
    </row>
    <row r="72" ht="15.75" customHeight="1" s="757">
      <c r="A72" s="10" t="inlineStr">
        <is>
          <t>TARRAGONA matí</t>
        </is>
      </c>
      <c r="B72" s="11" t="n"/>
      <c r="C72" s="11" t="n"/>
      <c r="D72" s="12" t="n"/>
      <c r="E72" s="24" t="n"/>
      <c r="G72" s="756" t="n"/>
      <c r="H72" s="756" t="n"/>
      <c r="I72" s="756" t="n"/>
      <c r="J72" s="756" t="n"/>
      <c r="K72" s="24" t="n"/>
      <c r="L72" s="24" t="n"/>
      <c r="M72" s="756" t="n"/>
      <c r="N72" s="756" t="n"/>
      <c r="O72" s="26" t="n"/>
      <c r="P72" s="756" t="n"/>
      <c r="Q72" s="756" t="n"/>
      <c r="R72" s="24" t="n"/>
      <c r="S72" s="24" t="n"/>
      <c r="T72" s="285" t="inlineStr">
        <is>
          <t>PERE</t>
        </is>
      </c>
      <c r="V72" s="284" t="n"/>
      <c r="X72" s="756" t="n"/>
      <c r="Y72" s="24" t="n"/>
      <c r="Z72" s="24" t="n"/>
      <c r="AA72" s="26" t="n"/>
      <c r="AB72" s="284" t="n"/>
      <c r="AD72" s="284" t="n"/>
      <c r="AE72" s="756" t="n"/>
      <c r="AF72" s="24" t="n"/>
      <c r="AG72" s="24" t="n"/>
      <c r="AH72" s="284" t="n"/>
      <c r="AI72" s="756" t="n"/>
      <c r="AJ72" s="4" t="n"/>
      <c r="AP72" s="619" t="inlineStr">
        <is>
          <t xml:space="preserve">EAPC - ACTIC INTERMEDI C1-C8 </t>
        </is>
      </c>
      <c r="AQ72" s="285" t="n"/>
      <c r="AR72" s="285" t="n"/>
      <c r="AS72" s="285" t="n"/>
      <c r="AT72" s="285" t="n"/>
      <c r="AU72" s="285" t="n"/>
    </row>
    <row r="73" ht="15.75" customHeight="1" s="757">
      <c r="A73" s="10" t="inlineStr">
        <is>
          <t>TARRAGONA tarde</t>
        </is>
      </c>
      <c r="B73" s="11" t="n"/>
      <c r="C73" s="11" t="n"/>
      <c r="D73" s="12" t="n"/>
      <c r="E73" s="24" t="n"/>
      <c r="F73" s="756" t="n"/>
      <c r="G73" s="756" t="n"/>
      <c r="H73" s="756" t="n"/>
      <c r="I73" s="756" t="n"/>
      <c r="J73" s="756" t="n"/>
      <c r="K73" s="24" t="n"/>
      <c r="L73" s="24" t="n"/>
      <c r="M73" s="756" t="n"/>
      <c r="N73" s="756" t="n"/>
      <c r="O73" s="26" t="n"/>
      <c r="P73" s="756" t="n"/>
      <c r="Q73" s="756" t="n"/>
      <c r="R73" s="24" t="n"/>
      <c r="S73" s="24" t="n"/>
      <c r="T73" s="756" t="n"/>
      <c r="U73" s="756" t="n"/>
      <c r="V73" s="756" t="n"/>
      <c r="W73" s="756" t="n"/>
      <c r="X73" s="756" t="n"/>
      <c r="Y73" s="24" t="n"/>
      <c r="Z73" s="24" t="n"/>
      <c r="AA73" s="26" t="n"/>
      <c r="AB73" s="756" t="n"/>
      <c r="AC73" s="756" t="n"/>
      <c r="AD73" s="756" t="n"/>
      <c r="AE73" s="756" t="n"/>
      <c r="AF73" s="24" t="n"/>
      <c r="AG73" s="24" t="n"/>
      <c r="AH73" s="756" t="n"/>
      <c r="AI73" s="756" t="n"/>
      <c r="AJ73" s="4" t="n"/>
    </row>
    <row r="74" ht="19.5" customHeight="1" s="757" thickBot="1">
      <c r="A74" s="788" t="inlineStr">
        <is>
          <t>OCTUBRE</t>
        </is>
      </c>
      <c r="B74" s="156" t="n"/>
      <c r="C74" s="156" t="n"/>
      <c r="D74" s="156" t="n"/>
      <c r="E74" s="156" t="n"/>
      <c r="F74" s="156" t="n"/>
      <c r="G74" s="156" t="n"/>
      <c r="H74" s="156" t="n"/>
      <c r="I74" s="156" t="n"/>
      <c r="J74" s="156" t="n"/>
      <c r="K74" s="156" t="n"/>
      <c r="L74" s="156" t="n"/>
      <c r="M74" s="156" t="n"/>
      <c r="N74" s="156" t="n"/>
      <c r="O74" s="156" t="n"/>
      <c r="P74" s="156" t="n"/>
      <c r="Q74" s="156" t="n"/>
      <c r="R74" s="156" t="n"/>
      <c r="S74" s="156" t="n"/>
      <c r="T74" s="156" t="n"/>
      <c r="U74" s="156" t="n"/>
      <c r="V74" s="156" t="n"/>
      <c r="W74" s="156" t="n"/>
      <c r="X74" s="156" t="n"/>
      <c r="Y74" s="156" t="n"/>
      <c r="Z74" s="156" t="n"/>
      <c r="AA74" s="156" t="n"/>
      <c r="AB74" s="156" t="n"/>
      <c r="AC74" s="156" t="n"/>
      <c r="AD74" s="156" t="n"/>
      <c r="AE74" s="156" t="n"/>
      <c r="AF74" s="156" t="n"/>
      <c r="AG74" s="156" t="n"/>
      <c r="AH74" s="156" t="n"/>
      <c r="AI74" s="142" t="n"/>
      <c r="AJ74" s="524" t="n">
        <v>23</v>
      </c>
      <c r="AK74">
        <f>AK66+AJ74</f>
        <v/>
      </c>
      <c r="AN74" s="756" t="n"/>
    </row>
    <row r="75" ht="64.5" customHeight="1" s="757">
      <c r="A75" s="7" t="inlineStr">
        <is>
          <t>AULA</t>
        </is>
      </c>
      <c r="B75" s="8" t="inlineStr">
        <is>
          <t>INICI</t>
        </is>
      </c>
      <c r="C75" s="8" t="inlineStr">
        <is>
          <t>FINAL</t>
        </is>
      </c>
      <c r="D75" s="8" t="inlineStr">
        <is>
          <t>AULA</t>
        </is>
      </c>
      <c r="E75" s="9" t="n">
        <v>45566</v>
      </c>
      <c r="F75" s="9" t="n">
        <v>45567</v>
      </c>
      <c r="G75" s="9" t="n">
        <v>45568</v>
      </c>
      <c r="H75" s="9" t="n">
        <v>45569</v>
      </c>
      <c r="I75" s="9" t="n">
        <v>45570</v>
      </c>
      <c r="J75" s="9" t="n">
        <v>45571</v>
      </c>
      <c r="K75" s="9" t="n">
        <v>45572</v>
      </c>
      <c r="L75" s="9" t="n">
        <v>45573</v>
      </c>
      <c r="M75" s="9" t="n">
        <v>45574</v>
      </c>
      <c r="N75" s="9" t="n">
        <v>45575</v>
      </c>
      <c r="O75" s="9" t="n">
        <v>45576</v>
      </c>
      <c r="P75" s="9" t="n">
        <v>45577</v>
      </c>
      <c r="Q75" s="9" t="n">
        <v>45578</v>
      </c>
      <c r="R75" s="9" t="n">
        <v>45579</v>
      </c>
      <c r="S75" s="9" t="n">
        <v>45580</v>
      </c>
      <c r="T75" s="9" t="n">
        <v>45581</v>
      </c>
      <c r="U75" s="9" t="n">
        <v>45582</v>
      </c>
      <c r="V75" s="9" t="n">
        <v>45583</v>
      </c>
      <c r="W75" s="9" t="n">
        <v>45584</v>
      </c>
      <c r="X75" s="9" t="n">
        <v>45585</v>
      </c>
      <c r="Y75" s="9" t="n">
        <v>45586</v>
      </c>
      <c r="Z75" s="9" t="n">
        <v>45587</v>
      </c>
      <c r="AA75" s="9" t="n">
        <v>45588</v>
      </c>
      <c r="AB75" s="9" t="n">
        <v>45589</v>
      </c>
      <c r="AC75" s="9" t="n">
        <v>45590</v>
      </c>
      <c r="AD75" s="9" t="n">
        <v>45591</v>
      </c>
      <c r="AE75" s="9" t="n">
        <v>45592</v>
      </c>
      <c r="AF75" s="9" t="n">
        <v>45593</v>
      </c>
      <c r="AG75" s="9" t="n">
        <v>45594</v>
      </c>
      <c r="AH75" s="9" t="n">
        <v>45595</v>
      </c>
      <c r="AI75" s="9" t="n">
        <v>45596</v>
      </c>
      <c r="AJ75" s="4" t="n"/>
    </row>
    <row r="76" ht="15.75" customHeight="1" s="757">
      <c r="A76" s="10" t="inlineStr">
        <is>
          <t>GOOGLE MATINS</t>
        </is>
      </c>
      <c r="B76" s="11" t="n"/>
      <c r="C76" s="11" t="n"/>
      <c r="D76" s="12" t="n"/>
      <c r="E76" s="756" t="n"/>
      <c r="F76" s="756" t="n"/>
      <c r="G76" s="344" t="n"/>
      <c r="H76" s="756" t="n"/>
      <c r="I76" s="24" t="n"/>
      <c r="J76" s="24" t="n"/>
      <c r="K76" s="756" t="n"/>
      <c r="L76" s="756" t="n"/>
      <c r="M76" s="756" t="n"/>
      <c r="N76" s="756" t="n"/>
      <c r="O76" s="756" t="n"/>
      <c r="P76" s="24" t="n"/>
      <c r="Q76" s="24" t="n"/>
      <c r="R76" s="345" t="n"/>
      <c r="S76" s="359" t="n"/>
      <c r="T76" s="756" t="n"/>
      <c r="U76" s="756" t="n"/>
      <c r="V76" s="756" t="n"/>
      <c r="W76" s="24" t="n"/>
      <c r="X76" s="24" t="n"/>
      <c r="Y76" s="756" t="n"/>
      <c r="Z76" s="756" t="n"/>
      <c r="AA76" s="756" t="n"/>
      <c r="AB76" s="756" t="n"/>
      <c r="AC76" s="756" t="n"/>
      <c r="AD76" s="24" t="n"/>
      <c r="AE76" s="24" t="n"/>
      <c r="AF76" s="344" t="n"/>
      <c r="AG76" s="756" t="n"/>
      <c r="AH76" s="756" t="n"/>
      <c r="AI76" s="756" t="n"/>
      <c r="AJ76" s="4" t="n"/>
      <c r="AK76" s="228" t="n"/>
      <c r="AL76" s="775" t="n"/>
      <c r="AM76" s="775" t="n"/>
      <c r="AN76" s="775" t="n"/>
      <c r="AO76" s="775" t="n"/>
      <c r="AP76" s="775" t="n"/>
    </row>
    <row r="77" ht="19.5" customHeight="1" s="757" thickBot="1">
      <c r="A77" s="14" t="inlineStr">
        <is>
          <t>FIREFOX MATINS</t>
        </is>
      </c>
      <c r="B77" s="15" t="n"/>
      <c r="C77" s="15" t="n"/>
      <c r="D77" s="15" t="n"/>
      <c r="E77" s="130" t="n"/>
      <c r="F77" s="130" t="n"/>
      <c r="G77" s="130" t="n"/>
      <c r="H77" s="130" t="n"/>
      <c r="I77" s="35" t="n"/>
      <c r="J77" s="35" t="n"/>
      <c r="K77" s="130" t="n"/>
      <c r="L77" s="130" t="n"/>
      <c r="M77" s="130" t="n"/>
      <c r="N77" s="130" t="n"/>
      <c r="O77" s="130" t="n"/>
      <c r="P77" s="35" t="n"/>
      <c r="Q77" s="35" t="n"/>
      <c r="R77" s="130" t="n"/>
      <c r="S77" s="130" t="n"/>
      <c r="T77" s="130" t="n"/>
      <c r="U77" s="130" t="n"/>
      <c r="V77" s="130" t="n"/>
      <c r="W77" s="35" t="n"/>
      <c r="X77" s="35" t="n"/>
      <c r="Y77" s="130" t="n"/>
      <c r="Z77" s="130" t="n"/>
      <c r="AA77" s="362" t="n"/>
      <c r="AB77" s="363" t="n"/>
      <c r="AC77" s="348" t="n"/>
      <c r="AD77" s="35" t="n"/>
      <c r="AE77" s="35" t="n"/>
      <c r="AF77" s="130" t="n"/>
      <c r="AG77" s="130" t="n"/>
      <c r="AH77" s="130" t="n"/>
      <c r="AI77" s="130" t="n"/>
      <c r="AJ77" s="4" t="n"/>
      <c r="AK77">
        <f>AK69+AJ74</f>
        <v/>
      </c>
      <c r="AL77" s="736" t="n"/>
    </row>
    <row r="78" ht="19.5" customHeight="1" s="757" thickTop="1">
      <c r="A78" s="17" t="inlineStr">
        <is>
          <t>GOOGLE TARDA</t>
        </is>
      </c>
      <c r="B78" s="18" t="n"/>
      <c r="C78" s="18" t="n"/>
      <c r="D78" s="18" t="n"/>
      <c r="E78" s="237" t="n"/>
      <c r="F78" s="237" t="n"/>
      <c r="G78" s="237" t="n"/>
      <c r="H78" s="237" t="n"/>
      <c r="I78" s="39" t="n"/>
      <c r="J78" s="39" t="n"/>
      <c r="K78" s="237" t="n"/>
      <c r="L78" s="237" t="n"/>
      <c r="M78" s="237" t="n"/>
      <c r="N78" s="237" t="n"/>
      <c r="O78" s="237" t="n"/>
      <c r="P78" s="39" t="n"/>
      <c r="Q78" s="39" t="n"/>
      <c r="R78" s="237" t="n"/>
      <c r="S78" s="237" t="n"/>
      <c r="T78" s="237" t="n"/>
      <c r="U78" s="401" t="n"/>
      <c r="V78" s="237" t="n"/>
      <c r="W78" s="39" t="n"/>
      <c r="X78" s="39" t="n"/>
      <c r="Y78" s="237" t="n"/>
      <c r="Z78" s="237" t="n"/>
      <c r="AA78" s="237" t="n"/>
      <c r="AB78" s="339" t="inlineStr">
        <is>
          <t>FCOO03</t>
        </is>
      </c>
      <c r="AC78" s="269" t="n"/>
      <c r="AD78" s="270" t="n"/>
      <c r="AE78" s="39" t="n"/>
      <c r="AF78" s="339" t="inlineStr">
        <is>
          <t>FCOS02</t>
        </is>
      </c>
      <c r="AG78" s="261" t="n"/>
      <c r="AH78" s="261" t="n"/>
      <c r="AI78" s="261" t="n"/>
      <c r="AJ78" s="4" t="n"/>
      <c r="AK78" s="233">
        <f>AK70+17</f>
        <v/>
      </c>
      <c r="AL78" s="618" t="inlineStr">
        <is>
          <t>014-FCOV05 ANGLES (2ªED) 5H</t>
        </is>
      </c>
      <c r="AM78" s="609" t="n"/>
      <c r="AN78" s="609" t="n"/>
      <c r="AO78" s="609" t="n"/>
      <c r="AP78" s="609" t="n"/>
      <c r="AQ78" s="262" t="n"/>
      <c r="AR78" s="735" t="inlineStr">
        <is>
          <t>021+022 FCO</t>
        </is>
      </c>
    </row>
    <row r="79" ht="15.75" customHeight="1" s="757">
      <c r="A79" s="10" t="inlineStr">
        <is>
          <t>FIREFOX TARDA</t>
        </is>
      </c>
      <c r="B79" s="11" t="n"/>
      <c r="C79" s="11" t="n"/>
      <c r="D79" s="12" t="n"/>
      <c r="E79" s="755" t="n"/>
      <c r="F79" s="755" t="n"/>
      <c r="G79" s="755" t="n"/>
      <c r="H79" s="755" t="n"/>
      <c r="I79" s="39" t="n"/>
      <c r="J79" s="39" t="n"/>
      <c r="K79" s="755" t="n"/>
      <c r="L79" s="755" t="n"/>
      <c r="M79" s="755" t="n"/>
      <c r="N79" s="755" t="n"/>
      <c r="O79" s="755" t="n"/>
      <c r="P79" s="39" t="n"/>
      <c r="Q79" s="39" t="n"/>
      <c r="R79" s="755" t="n"/>
      <c r="S79" s="755" t="n"/>
      <c r="T79" s="400" t="n"/>
      <c r="U79" s="394" t="inlineStr">
        <is>
          <t>8vam</t>
        </is>
      </c>
      <c r="V79" s="123" t="n"/>
      <c r="W79" s="39" t="n"/>
      <c r="X79" s="39" t="n"/>
      <c r="Y79" s="755" t="n"/>
      <c r="Z79" s="755" t="n"/>
      <c r="AA79" s="755" t="n"/>
      <c r="AB79" s="756" t="n"/>
      <c r="AC79" s="756" t="n"/>
      <c r="AD79" s="24" t="n"/>
      <c r="AE79" s="24" t="n"/>
      <c r="AF79" s="756" t="n"/>
      <c r="AG79" s="756" t="n"/>
      <c r="AH79" s="756" t="n"/>
      <c r="AI79" s="756" t="n"/>
      <c r="AJ79" s="4" t="n"/>
      <c r="AL79" s="394" t="inlineStr">
        <is>
          <t>8 VAM</t>
        </is>
      </c>
    </row>
    <row r="80" ht="15.75" customHeight="1" s="757">
      <c r="A80" s="10" t="inlineStr">
        <is>
          <t>TARRAGONA matí</t>
        </is>
      </c>
      <c r="B80" s="11" t="n"/>
      <c r="C80" s="11" t="n"/>
      <c r="D80" s="12" t="n"/>
      <c r="E80" s="291" t="inlineStr">
        <is>
          <t>RAF</t>
        </is>
      </c>
      <c r="F80" s="756" t="n"/>
      <c r="G80" s="291" t="inlineStr">
        <is>
          <t>RAF</t>
        </is>
      </c>
      <c r="H80" s="756" t="n"/>
      <c r="I80" s="24" t="n"/>
      <c r="J80" s="24" t="n"/>
      <c r="K80" s="291" t="inlineStr">
        <is>
          <t>RAF</t>
        </is>
      </c>
      <c r="L80" s="756" t="n"/>
      <c r="M80" s="756" t="n"/>
      <c r="N80" s="756" t="n"/>
      <c r="O80" s="756" t="n"/>
      <c r="P80" s="24" t="n"/>
      <c r="Q80" s="24" t="n"/>
      <c r="R80" s="620" t="inlineStr">
        <is>
          <t>AYALA</t>
        </is>
      </c>
      <c r="S80" s="756" t="n"/>
      <c r="T80" s="284" t="n"/>
      <c r="U80" s="755" t="n"/>
      <c r="V80" s="756" t="n"/>
      <c r="W80" s="24" t="n"/>
      <c r="X80" s="24" t="n"/>
      <c r="Y80" s="284" t="n"/>
      <c r="Z80" s="756" t="n"/>
      <c r="AA80" s="756" t="n"/>
      <c r="AB80" s="286" t="inlineStr">
        <is>
          <t>PERE</t>
        </is>
      </c>
      <c r="AC80" s="756" t="n"/>
      <c r="AD80" s="24" t="n"/>
      <c r="AE80" s="24" t="n"/>
      <c r="AF80" s="756" t="n"/>
      <c r="AG80" s="286" t="n"/>
      <c r="AH80" s="756" t="n"/>
      <c r="AI80" s="286" t="n"/>
      <c r="AJ80" s="4" t="n"/>
      <c r="AL80" s="402" t="inlineStr">
        <is>
          <t>EAPC- EXCEL AVANÇAT</t>
        </is>
      </c>
      <c r="AM80" s="286" t="n"/>
      <c r="AN80" s="286" t="n"/>
      <c r="AQ80" s="285" t="inlineStr">
        <is>
          <t>EAPC - POWER BI</t>
        </is>
      </c>
      <c r="AR80" s="285" t="n"/>
      <c r="AS80" s="285" t="n"/>
      <c r="AT80" s="285" t="n"/>
      <c r="AV80" s="286" t="inlineStr">
        <is>
          <t>EAPC - ACCÉS AVANÇAT</t>
        </is>
      </c>
      <c r="AW80" s="286" t="n"/>
      <c r="AX80" s="286" t="n"/>
      <c r="AY80" s="286" t="n"/>
      <c r="AZ80" s="286" t="n"/>
    </row>
    <row r="81" ht="15.75" customHeight="1" s="757">
      <c r="A81" s="10" t="inlineStr">
        <is>
          <t>TARRAGONA tarde</t>
        </is>
      </c>
      <c r="B81" s="11" t="n"/>
      <c r="C81" s="11" t="n"/>
      <c r="D81" s="12" t="n"/>
      <c r="E81" s="756" t="n"/>
      <c r="F81" s="756" t="n"/>
      <c r="G81" s="756" t="n"/>
      <c r="H81" s="756" t="n"/>
      <c r="I81" s="24" t="n"/>
      <c r="J81" s="24" t="n"/>
      <c r="K81" s="756" t="n"/>
      <c r="L81" s="756" t="n"/>
      <c r="M81" s="756" t="n"/>
      <c r="N81" s="756" t="n"/>
      <c r="O81" s="756" t="n"/>
      <c r="P81" s="24" t="n"/>
      <c r="Q81" s="24" t="n"/>
      <c r="R81" s="756" t="n"/>
      <c r="S81" s="756" t="n"/>
      <c r="T81" s="756" t="n"/>
      <c r="U81" s="756" t="n"/>
      <c r="V81" s="756" t="n"/>
      <c r="W81" s="24" t="n"/>
      <c r="X81" s="24" t="n"/>
      <c r="Y81" s="756" t="n"/>
      <c r="Z81" s="756" t="n"/>
      <c r="AA81" s="756" t="n"/>
      <c r="AB81" s="756" t="n"/>
      <c r="AC81" s="756" t="n"/>
      <c r="AD81" s="24" t="n"/>
      <c r="AE81" s="24" t="n"/>
      <c r="AF81" s="756" t="n"/>
      <c r="AG81" s="756" t="n"/>
      <c r="AH81" s="756" t="n"/>
      <c r="AI81" s="756" t="n"/>
      <c r="AJ81" s="4" t="n"/>
    </row>
    <row r="82" ht="19.5" customHeight="1" s="757" thickBot="1">
      <c r="A82" s="788" t="inlineStr">
        <is>
          <t>NOVEMBRE</t>
        </is>
      </c>
      <c r="B82" s="156" t="n"/>
      <c r="C82" s="156" t="n"/>
      <c r="D82" s="156" t="n"/>
      <c r="E82" s="156" t="n"/>
      <c r="F82" s="156" t="n"/>
      <c r="G82" s="156" t="n"/>
      <c r="H82" s="156" t="n"/>
      <c r="I82" s="156" t="n"/>
      <c r="J82" s="156" t="n"/>
      <c r="K82" s="156" t="n"/>
      <c r="L82" s="156" t="n"/>
      <c r="M82" s="156" t="n"/>
      <c r="N82" s="156" t="n"/>
      <c r="O82" s="156" t="n"/>
      <c r="P82" s="156" t="n"/>
      <c r="Q82" s="156" t="n"/>
      <c r="R82" s="156" t="n"/>
      <c r="S82" s="156" t="n"/>
      <c r="T82" s="156" t="n"/>
      <c r="U82" s="156" t="n"/>
      <c r="V82" s="156" t="n"/>
      <c r="W82" s="156" t="n"/>
      <c r="X82" s="156" t="n"/>
      <c r="Y82" s="156" t="n"/>
      <c r="Z82" s="156" t="n"/>
      <c r="AA82" s="156" t="n"/>
      <c r="AB82" s="156" t="n"/>
      <c r="AC82" s="156" t="n"/>
      <c r="AD82" s="156" t="n"/>
      <c r="AE82" s="156" t="n"/>
      <c r="AF82" s="156" t="n"/>
      <c r="AG82" s="156" t="n"/>
      <c r="AH82" s="156" t="n"/>
      <c r="AI82" s="142" t="n"/>
      <c r="AJ82" s="524" t="n">
        <v>20</v>
      </c>
      <c r="AK82">
        <f>AK74+AJ82</f>
        <v/>
      </c>
    </row>
    <row r="83" ht="60.75" customHeight="1" s="757">
      <c r="A83" s="7" t="inlineStr">
        <is>
          <t>AULA</t>
        </is>
      </c>
      <c r="B83" s="8" t="inlineStr">
        <is>
          <t>INICI</t>
        </is>
      </c>
      <c r="C83" s="8" t="inlineStr">
        <is>
          <t>FINAL</t>
        </is>
      </c>
      <c r="D83" s="8" t="inlineStr">
        <is>
          <t>AULA</t>
        </is>
      </c>
      <c r="E83" s="9" t="n">
        <v>45597</v>
      </c>
      <c r="F83" s="9" t="n">
        <v>45598</v>
      </c>
      <c r="G83" s="9" t="n">
        <v>45599</v>
      </c>
      <c r="H83" s="9" t="n">
        <v>45600</v>
      </c>
      <c r="I83" s="9" t="n">
        <v>45601</v>
      </c>
      <c r="J83" s="9" t="n">
        <v>45602</v>
      </c>
      <c r="K83" s="9" t="n">
        <v>45603</v>
      </c>
      <c r="L83" s="9" t="n">
        <v>45604</v>
      </c>
      <c r="M83" s="9" t="n">
        <v>45605</v>
      </c>
      <c r="N83" s="9" t="n">
        <v>45606</v>
      </c>
      <c r="O83" s="9" t="n">
        <v>45607</v>
      </c>
      <c r="P83" s="9" t="n">
        <v>45608</v>
      </c>
      <c r="Q83" s="9" t="n">
        <v>45609</v>
      </c>
      <c r="R83" s="9" t="n">
        <v>45610</v>
      </c>
      <c r="S83" s="9" t="n">
        <v>45611</v>
      </c>
      <c r="T83" s="9" t="n">
        <v>45612</v>
      </c>
      <c r="U83" s="9" t="n">
        <v>45613</v>
      </c>
      <c r="V83" s="9" t="n">
        <v>45614</v>
      </c>
      <c r="W83" s="9" t="n">
        <v>45615</v>
      </c>
      <c r="X83" s="9" t="n">
        <v>45616</v>
      </c>
      <c r="Y83" s="9" t="n">
        <v>45617</v>
      </c>
      <c r="Z83" s="9" t="n">
        <v>45618</v>
      </c>
      <c r="AA83" s="9" t="n">
        <v>45619</v>
      </c>
      <c r="AB83" s="9" t="n">
        <v>45620</v>
      </c>
      <c r="AC83" s="9" t="n">
        <v>45621</v>
      </c>
      <c r="AD83" s="9" t="n">
        <v>45622</v>
      </c>
      <c r="AE83" s="9" t="n">
        <v>45623</v>
      </c>
      <c r="AF83" s="9" t="n">
        <v>45624</v>
      </c>
      <c r="AG83" s="9" t="n">
        <v>45625</v>
      </c>
      <c r="AH83" s="9" t="n">
        <v>45626</v>
      </c>
      <c r="AI83" s="9" t="n"/>
      <c r="AJ83" s="4" t="n"/>
    </row>
    <row r="84" ht="18.75" customHeight="1" s="757">
      <c r="A84" s="10" t="inlineStr">
        <is>
          <t>GOOGLE MATINS</t>
        </is>
      </c>
      <c r="B84" s="11" t="n"/>
      <c r="C84" s="11" t="n"/>
      <c r="D84" s="12" t="n"/>
      <c r="E84" s="26" t="n"/>
      <c r="F84" s="24" t="n"/>
      <c r="G84" s="24" t="n"/>
      <c r="H84" s="756" t="n"/>
      <c r="I84" s="364" t="n"/>
      <c r="J84" s="756" t="n"/>
      <c r="K84" s="756" t="n"/>
      <c r="L84" s="756" t="n"/>
      <c r="M84" s="24" t="n"/>
      <c r="N84" s="24" t="n"/>
      <c r="O84" s="163" t="n"/>
      <c r="P84" s="364" t="n"/>
      <c r="Q84" s="756" t="n"/>
      <c r="R84" s="756" t="n"/>
      <c r="S84" s="756" t="n"/>
      <c r="T84" s="24" t="n"/>
      <c r="U84" s="24" t="n"/>
      <c r="V84" s="756" t="n"/>
      <c r="W84" s="756" t="n"/>
      <c r="X84" s="756" t="n"/>
      <c r="Y84" s="756" t="n"/>
      <c r="Z84" s="756" t="n"/>
      <c r="AA84" s="24" t="n"/>
      <c r="AB84" s="24" t="n"/>
      <c r="AC84" s="756" t="n"/>
      <c r="AD84" s="756" t="n"/>
      <c r="AE84" s="756" t="n"/>
      <c r="AF84" s="756" t="n"/>
      <c r="AG84" s="85" t="n"/>
      <c r="AH84" s="24" t="n"/>
      <c r="AI84" s="756" t="n"/>
      <c r="AJ84" s="4" t="n"/>
      <c r="AK84" s="232" t="n"/>
      <c r="AL84" s="775" t="n"/>
      <c r="AM84" s="775" t="n"/>
      <c r="AN84" s="775" t="n"/>
      <c r="AO84" s="775" t="n"/>
      <c r="AP84" s="671" t="n"/>
    </row>
    <row r="85" ht="19.5" customHeight="1" s="757" thickBot="1">
      <c r="A85" s="14" t="inlineStr">
        <is>
          <t>FIREFOX MATINS</t>
        </is>
      </c>
      <c r="B85" s="15" t="n"/>
      <c r="C85" s="15" t="n"/>
      <c r="D85" s="15" t="n"/>
      <c r="E85" s="27" t="n"/>
      <c r="F85" s="35" t="n"/>
      <c r="G85" s="35" t="n"/>
      <c r="H85" s="130" t="n"/>
      <c r="I85" s="130" t="n"/>
      <c r="J85" s="130" t="n"/>
      <c r="K85" s="130" t="n"/>
      <c r="L85" s="130" t="n"/>
      <c r="M85" s="35" t="n"/>
      <c r="N85" s="35" t="n"/>
      <c r="O85" s="362" t="n"/>
      <c r="P85" s="778" t="n"/>
      <c r="Q85" s="778" t="n"/>
      <c r="R85" s="778" t="n"/>
      <c r="S85" s="778" t="n"/>
      <c r="T85" s="35" t="n"/>
      <c r="U85" s="35" t="n"/>
      <c r="V85" s="778" t="n"/>
      <c r="W85" s="778" t="n"/>
      <c r="X85" s="778" t="n"/>
      <c r="Y85" s="778" t="n"/>
      <c r="Z85" s="778" t="n"/>
      <c r="AA85" s="35" t="n"/>
      <c r="AB85" s="35" t="n"/>
      <c r="AC85" s="778" t="n"/>
      <c r="AD85" s="778" t="n"/>
      <c r="AE85" s="778" t="n"/>
      <c r="AF85" s="778" t="n"/>
      <c r="AG85" s="778" t="n"/>
      <c r="AH85" s="35" t="n"/>
      <c r="AI85" s="778" t="n"/>
      <c r="AJ85" s="4" t="n"/>
      <c r="AK85" s="233" t="n"/>
      <c r="AL85" s="736" t="n"/>
      <c r="AP85" s="775" t="n"/>
      <c r="AQ85" s="775" t="n"/>
      <c r="AR85" s="775" t="n"/>
    </row>
    <row r="86" ht="16.5" customHeight="1" s="757" thickTop="1">
      <c r="A86" s="17" t="inlineStr">
        <is>
          <t>GOOGLE TARDA</t>
        </is>
      </c>
      <c r="B86" s="18" t="n"/>
      <c r="C86" s="18" t="n"/>
      <c r="D86" s="18" t="n"/>
      <c r="E86" s="28" t="n"/>
      <c r="F86" s="39" t="n"/>
      <c r="G86" s="39" t="n"/>
      <c r="H86" s="261" t="n"/>
      <c r="I86" s="755" t="n"/>
      <c r="J86" s="755" t="n"/>
      <c r="K86" s="755" t="n"/>
      <c r="L86" s="755" t="n"/>
      <c r="M86" s="39" t="n"/>
      <c r="N86" s="39" t="n"/>
      <c r="O86" s="755" t="n"/>
      <c r="P86" s="755" t="n"/>
      <c r="Q86" s="755" t="n"/>
      <c r="R86" s="755" t="n"/>
      <c r="S86" s="755" t="n"/>
      <c r="T86" s="39" t="n"/>
      <c r="U86" s="39" t="n"/>
      <c r="V86" s="755" t="n"/>
      <c r="W86" s="755" t="n"/>
      <c r="X86" s="755" t="n"/>
      <c r="Y86" s="755" t="n"/>
      <c r="Z86" s="755" t="n"/>
      <c r="AA86" s="39" t="n"/>
      <c r="AB86" s="39" t="n"/>
      <c r="AC86" s="755" t="n"/>
      <c r="AD86" s="755" t="n"/>
      <c r="AE86" s="755" t="n"/>
      <c r="AF86" s="755" t="n"/>
      <c r="AG86" s="755" t="n"/>
      <c r="AH86" s="39" t="n"/>
      <c r="AI86" s="755" t="n"/>
      <c r="AJ86" s="4" t="n"/>
      <c r="AL86" s="735" t="inlineStr">
        <is>
          <t>021+022 FCO</t>
        </is>
      </c>
    </row>
    <row r="87" ht="15.75" customHeight="1" s="757">
      <c r="A87" s="10" t="inlineStr">
        <is>
          <t>FIREFOX TARDA</t>
        </is>
      </c>
      <c r="B87" s="11" t="n"/>
      <c r="C87" s="11" t="n"/>
      <c r="D87" s="12" t="n"/>
      <c r="E87" s="26" t="n"/>
      <c r="F87" s="24" t="n"/>
      <c r="G87" s="24" t="n"/>
      <c r="H87" s="756" t="n"/>
      <c r="I87" s="756" t="n"/>
      <c r="J87" s="756" t="n"/>
      <c r="K87" s="756" t="n"/>
      <c r="L87" s="756" t="n"/>
      <c r="M87" s="24" t="n"/>
      <c r="N87" s="24" t="n"/>
      <c r="O87" s="756" t="n"/>
      <c r="P87" s="756" t="n"/>
      <c r="Q87" s="756" t="n"/>
      <c r="R87" s="756" t="n"/>
      <c r="S87" s="756" t="n"/>
      <c r="T87" s="24" t="n"/>
      <c r="U87" s="24" t="n"/>
      <c r="V87" s="756" t="n"/>
      <c r="W87" s="756" t="n"/>
      <c r="X87" s="756" t="n"/>
      <c r="Y87" s="756" t="n"/>
      <c r="Z87" s="756" t="n"/>
      <c r="AA87" s="24" t="n"/>
      <c r="AB87" s="24" t="n"/>
      <c r="AC87" s="756" t="n"/>
      <c r="AD87" s="756" t="n"/>
      <c r="AE87" s="756" t="n"/>
      <c r="AF87" s="756" t="n"/>
      <c r="AG87" s="756" t="n"/>
      <c r="AH87" s="24" t="n"/>
      <c r="AI87" s="756" t="n"/>
      <c r="AJ87" s="4" t="n"/>
    </row>
    <row r="88" ht="15.75" customHeight="1" s="757">
      <c r="A88" s="10" t="inlineStr">
        <is>
          <t>TARRAGONA matí</t>
        </is>
      </c>
      <c r="B88" s="11" t="n"/>
      <c r="C88" s="11" t="n"/>
      <c r="D88" s="12" t="n"/>
      <c r="E88" s="26" t="n"/>
      <c r="F88" s="24" t="n"/>
      <c r="G88" s="24" t="n"/>
      <c r="H88" s="285" t="inlineStr">
        <is>
          <t>RAF</t>
        </is>
      </c>
      <c r="I88" s="756" t="n"/>
      <c r="J88" s="284" t="n"/>
      <c r="K88" s="756" t="n"/>
      <c r="L88" s="756" t="n"/>
      <c r="M88" s="24" t="n"/>
      <c r="N88" s="24" t="n"/>
      <c r="O88" s="284" t="n"/>
      <c r="P88" s="756" t="n"/>
      <c r="Q88" s="284" t="n"/>
      <c r="R88" s="756" t="n"/>
      <c r="S88" s="756" t="n"/>
      <c r="T88" s="24" t="n"/>
      <c r="U88" s="24" t="n"/>
      <c r="V88" s="284" t="n"/>
      <c r="W88" s="756" t="n"/>
      <c r="X88" s="756" t="n"/>
      <c r="Y88" s="756" t="n"/>
      <c r="Z88" s="756" t="n"/>
      <c r="AA88" s="24" t="n"/>
      <c r="AB88" s="24" t="n"/>
      <c r="AC88" s="292" t="inlineStr">
        <is>
          <t>RAF??</t>
        </is>
      </c>
      <c r="AD88" s="756" t="n"/>
      <c r="AE88" s="756" t="n"/>
      <c r="AF88" s="756" t="n"/>
      <c r="AG88" s="756" t="n"/>
      <c r="AH88" s="24" t="n"/>
      <c r="AI88" s="756" t="n"/>
      <c r="AJ88" s="4" t="n"/>
      <c r="AL88" s="619" t="inlineStr">
        <is>
          <t xml:space="preserve">EAPC - ACTIC AVANÇAT C4,C6,C8 </t>
        </is>
      </c>
      <c r="AM88" s="619" t="n"/>
      <c r="AN88" s="619" t="n"/>
      <c r="AO88" s="619" t="n"/>
      <c r="AP88" s="619" t="n"/>
      <c r="AQ88" s="619" t="n"/>
      <c r="AS88" s="621" t="inlineStr">
        <is>
          <t>EAPC - PLANNER</t>
        </is>
      </c>
      <c r="AT88" s="621" t="n"/>
      <c r="AU88" s="621" t="n"/>
      <c r="AV88" s="621" t="n"/>
    </row>
    <row r="89" ht="15.75" customHeight="1" s="757">
      <c r="A89" s="10" t="inlineStr">
        <is>
          <t>TARRAGONA tarde</t>
        </is>
      </c>
      <c r="B89" s="11" t="n"/>
      <c r="C89" s="11" t="n"/>
      <c r="D89" s="12" t="n"/>
      <c r="E89" s="26" t="n"/>
      <c r="F89" s="24" t="n"/>
      <c r="G89" s="24" t="n"/>
      <c r="H89" s="756" t="n"/>
      <c r="I89" s="756" t="n"/>
      <c r="J89" s="756" t="n"/>
      <c r="K89" s="756" t="n"/>
      <c r="L89" s="756" t="n"/>
      <c r="M89" s="24" t="n"/>
      <c r="N89" s="24" t="n"/>
      <c r="O89" s="756" t="n"/>
      <c r="P89" s="756" t="n"/>
      <c r="Q89" s="756" t="n"/>
      <c r="R89" s="756" t="n"/>
      <c r="S89" s="756" t="n"/>
      <c r="T89" s="24" t="n"/>
      <c r="U89" s="24" t="n"/>
      <c r="V89" s="756" t="n"/>
      <c r="W89" s="756" t="n"/>
      <c r="X89" s="756" t="n"/>
      <c r="Y89" s="756" t="n"/>
      <c r="Z89" s="756" t="n"/>
      <c r="AA89" s="24" t="n"/>
      <c r="AB89" s="24" t="n"/>
      <c r="AC89" s="756" t="n"/>
      <c r="AD89" s="756" t="n"/>
      <c r="AE89" s="756" t="n"/>
      <c r="AF89" s="756" t="n"/>
      <c r="AG89" s="756" t="n"/>
      <c r="AH89" s="24" t="n"/>
      <c r="AI89" s="756" t="n"/>
      <c r="AJ89" s="4" t="n"/>
    </row>
    <row r="90" ht="19.5" customHeight="1" s="757" thickBot="1">
      <c r="A90" s="788" t="inlineStr">
        <is>
          <t>DESEMBRE</t>
        </is>
      </c>
      <c r="B90" s="156" t="n"/>
      <c r="C90" s="156" t="n"/>
      <c r="D90" s="156" t="n"/>
      <c r="E90" s="156" t="n"/>
      <c r="F90" s="156" t="n"/>
      <c r="G90" s="156" t="n"/>
      <c r="H90" s="156" t="n"/>
      <c r="I90" s="156" t="n"/>
      <c r="J90" s="156" t="n"/>
      <c r="K90" s="156" t="n"/>
      <c r="L90" s="156" t="n"/>
      <c r="M90" s="156" t="n"/>
      <c r="N90" s="156" t="n"/>
      <c r="O90" s="156" t="n"/>
      <c r="P90" s="156" t="n"/>
      <c r="Q90" s="156" t="n"/>
      <c r="R90" s="156" t="n"/>
      <c r="S90" s="156" t="n"/>
      <c r="T90" s="156" t="n"/>
      <c r="U90" s="156" t="n"/>
      <c r="V90" s="156" t="n"/>
      <c r="W90" s="156" t="n"/>
      <c r="X90" s="156" t="n"/>
      <c r="Y90" s="156" t="n"/>
      <c r="Z90" s="156" t="n"/>
      <c r="AA90" s="156" t="n"/>
      <c r="AB90" s="156" t="n"/>
      <c r="AC90" s="156" t="n"/>
      <c r="AD90" s="156" t="n"/>
      <c r="AE90" s="156" t="n"/>
      <c r="AF90" s="156" t="n"/>
      <c r="AG90" s="156" t="n"/>
      <c r="AH90" s="156" t="n"/>
      <c r="AI90" s="142" t="n"/>
      <c r="AJ90" s="524" t="n">
        <v>14</v>
      </c>
      <c r="AK90">
        <f>AK82+AJ90</f>
        <v/>
      </c>
    </row>
    <row r="91" ht="68.25" customHeight="1" s="757">
      <c r="A91" s="7" t="inlineStr">
        <is>
          <t>AULA</t>
        </is>
      </c>
      <c r="B91" s="8" t="inlineStr">
        <is>
          <t>INICI</t>
        </is>
      </c>
      <c r="C91" s="8" t="inlineStr">
        <is>
          <t>FINAL</t>
        </is>
      </c>
      <c r="D91" s="8" t="inlineStr">
        <is>
          <t>AULA</t>
        </is>
      </c>
      <c r="E91" s="9" t="n">
        <v>45627</v>
      </c>
      <c r="F91" s="9" t="n">
        <v>45628</v>
      </c>
      <c r="G91" s="9" t="n">
        <v>45629</v>
      </c>
      <c r="H91" s="9" t="n">
        <v>45630</v>
      </c>
      <c r="I91" s="9" t="n">
        <v>45631</v>
      </c>
      <c r="J91" s="9" t="n">
        <v>45632</v>
      </c>
      <c r="K91" s="9" t="n">
        <v>45633</v>
      </c>
      <c r="L91" s="9" t="n">
        <v>45634</v>
      </c>
      <c r="M91" s="9" t="n">
        <v>45635</v>
      </c>
      <c r="N91" s="9" t="n">
        <v>45636</v>
      </c>
      <c r="O91" s="9" t="n">
        <v>45637</v>
      </c>
      <c r="P91" s="9" t="n">
        <v>45638</v>
      </c>
      <c r="Q91" s="9" t="n">
        <v>45639</v>
      </c>
      <c r="R91" s="9" t="n">
        <v>45640</v>
      </c>
      <c r="S91" s="9" t="n">
        <v>45641</v>
      </c>
      <c r="T91" s="9" t="n">
        <v>45642</v>
      </c>
      <c r="U91" s="9" t="n">
        <v>45643</v>
      </c>
      <c r="V91" s="9" t="n">
        <v>45644</v>
      </c>
      <c r="W91" s="9" t="n">
        <v>45645</v>
      </c>
      <c r="X91" s="9" t="n">
        <v>45646</v>
      </c>
      <c r="Y91" s="9" t="n">
        <v>45647</v>
      </c>
      <c r="Z91" s="9" t="n">
        <v>45648</v>
      </c>
      <c r="AA91" s="9" t="n">
        <v>45649</v>
      </c>
      <c r="AB91" s="9" t="n">
        <v>45650</v>
      </c>
      <c r="AC91" s="9" t="n">
        <v>45651</v>
      </c>
      <c r="AD91" s="9" t="n">
        <v>45652</v>
      </c>
      <c r="AE91" s="9" t="n">
        <v>45653</v>
      </c>
      <c r="AF91" s="9" t="n">
        <v>45654</v>
      </c>
      <c r="AG91" s="9" t="n">
        <v>45655</v>
      </c>
      <c r="AH91" s="9" t="n">
        <v>45656</v>
      </c>
      <c r="AI91" s="9" t="n">
        <v>45657</v>
      </c>
      <c r="AJ91" s="4" t="n"/>
    </row>
    <row r="92" ht="15.75" customHeight="1" s="757">
      <c r="A92" s="10" t="inlineStr">
        <is>
          <t>GOOGLE MATINS</t>
        </is>
      </c>
      <c r="B92" s="11" t="n"/>
      <c r="C92" s="11" t="n"/>
      <c r="D92" s="12" t="n"/>
      <c r="E92" s="24" t="n"/>
      <c r="F92" s="756" t="n"/>
      <c r="G92" s="756" t="n"/>
      <c r="H92" s="756" t="n"/>
      <c r="I92" s="756" t="n"/>
      <c r="J92" s="26" t="n"/>
      <c r="K92" s="24" t="n"/>
      <c r="L92" s="24" t="n"/>
      <c r="M92" s="756" t="n"/>
      <c r="N92" s="756" t="n"/>
      <c r="O92" s="756" t="n"/>
      <c r="P92" s="756" t="n"/>
      <c r="Q92" s="756" t="n"/>
      <c r="R92" s="24" t="n"/>
      <c r="S92" s="24" t="n"/>
      <c r="T92" s="756" t="n"/>
      <c r="U92" s="756" t="n"/>
      <c r="V92" s="756" t="n"/>
      <c r="W92" s="756" t="n"/>
      <c r="X92" s="756" t="n"/>
      <c r="Y92" s="24" t="n"/>
      <c r="Z92" s="24" t="n"/>
      <c r="AA92" s="69" t="n"/>
      <c r="AB92" s="69" t="n"/>
      <c r="AC92" s="26" t="n"/>
      <c r="AD92" s="26" t="n"/>
      <c r="AE92" s="69" t="n"/>
      <c r="AF92" s="24" t="n"/>
      <c r="AG92" s="24" t="n"/>
      <c r="AH92" s="69" t="n"/>
      <c r="AI92" s="69" t="n"/>
      <c r="AJ92" s="4" t="n"/>
    </row>
    <row r="93" ht="16.5" customHeight="1" s="757" thickBot="1">
      <c r="A93" s="14" t="inlineStr">
        <is>
          <t>FIREFOX MATINS</t>
        </is>
      </c>
      <c r="B93" s="15" t="n"/>
      <c r="C93" s="15" t="n"/>
      <c r="D93" s="15" t="n"/>
      <c r="E93" s="35" t="n"/>
      <c r="F93" s="778" t="n"/>
      <c r="G93" s="778" t="n"/>
      <c r="H93" s="778" t="n"/>
      <c r="I93" s="778" t="n"/>
      <c r="J93" s="27" t="n"/>
      <c r="K93" s="35" t="n"/>
      <c r="L93" s="35" t="n"/>
      <c r="M93" s="778" t="n"/>
      <c r="N93" s="778" t="n"/>
      <c r="O93" s="778" t="n"/>
      <c r="P93" s="778" t="n"/>
      <c r="Q93" s="778" t="n"/>
      <c r="R93" s="35" t="n"/>
      <c r="S93" s="35" t="n"/>
      <c r="T93" s="778" t="n"/>
      <c r="U93" s="778" t="n"/>
      <c r="V93" s="778" t="n"/>
      <c r="W93" s="778" t="n"/>
      <c r="X93" s="778" t="n"/>
      <c r="Y93" s="35" t="n"/>
      <c r="Z93" s="35" t="n"/>
      <c r="AA93" s="224" t="n"/>
      <c r="AB93" s="224" t="n"/>
      <c r="AC93" s="27" t="n"/>
      <c r="AD93" s="27" t="n"/>
      <c r="AE93" s="224" t="n"/>
      <c r="AF93" s="35" t="n"/>
      <c r="AG93" s="35" t="n"/>
      <c r="AH93" s="224" t="n"/>
      <c r="AI93" s="224" t="n"/>
      <c r="AJ93" s="4" t="n"/>
    </row>
    <row r="94" ht="16.5" customHeight="1" s="757" thickTop="1">
      <c r="A94" s="17" t="inlineStr">
        <is>
          <t>GOOGLE TARDA</t>
        </is>
      </c>
      <c r="B94" s="18" t="n"/>
      <c r="C94" s="18" t="n"/>
      <c r="D94" s="18" t="n"/>
      <c r="E94" s="39" t="n"/>
      <c r="F94" s="755" t="n"/>
      <c r="G94" s="755" t="n"/>
      <c r="H94" s="755" t="n"/>
      <c r="I94" s="755" t="n"/>
      <c r="J94" s="28" t="n"/>
      <c r="K94" s="39" t="n"/>
      <c r="L94" s="39" t="n"/>
      <c r="M94" s="755" t="n"/>
      <c r="N94" s="755" t="n"/>
      <c r="O94" s="755" t="n"/>
      <c r="P94" s="755" t="n"/>
      <c r="Q94" s="755" t="n"/>
      <c r="R94" s="39" t="n"/>
      <c r="S94" s="39" t="n"/>
      <c r="T94" s="755" t="n"/>
      <c r="U94" s="755" t="n"/>
      <c r="V94" s="755" t="n"/>
      <c r="W94" s="755" t="n"/>
      <c r="X94" s="755" t="n"/>
      <c r="Y94" s="39" t="n"/>
      <c r="Z94" s="39" t="n"/>
      <c r="AA94" s="135" t="n"/>
      <c r="AB94" s="135" t="n"/>
      <c r="AC94" s="28" t="n"/>
      <c r="AD94" s="28" t="n"/>
      <c r="AE94" s="135" t="n"/>
      <c r="AF94" s="39" t="n"/>
      <c r="AG94" s="39" t="n"/>
      <c r="AH94" s="135" t="n"/>
      <c r="AI94" s="135" t="n"/>
      <c r="AJ94" s="4" t="n"/>
    </row>
    <row r="95" ht="15.75" customHeight="1" s="757">
      <c r="A95" s="10" t="inlineStr">
        <is>
          <t>FIREFOX TARDA</t>
        </is>
      </c>
      <c r="B95" s="11" t="n"/>
      <c r="C95" s="11" t="n"/>
      <c r="D95" s="12" t="n"/>
      <c r="E95" s="24" t="n"/>
      <c r="F95" s="756" t="n"/>
      <c r="G95" s="756" t="n"/>
      <c r="H95" s="756" t="n"/>
      <c r="I95" s="756" t="n"/>
      <c r="J95" s="26" t="n"/>
      <c r="K95" s="24" t="n"/>
      <c r="L95" s="24" t="n"/>
      <c r="M95" s="756" t="n"/>
      <c r="N95" s="756" t="n"/>
      <c r="O95" s="756" t="n"/>
      <c r="P95" s="756" t="n"/>
      <c r="Q95" s="756" t="n"/>
      <c r="R95" s="24" t="n"/>
      <c r="S95" s="24" t="n"/>
      <c r="T95" s="756" t="n"/>
      <c r="U95" s="756" t="n"/>
      <c r="V95" s="756" t="n"/>
      <c r="W95" s="756" t="n"/>
      <c r="X95" s="756" t="n"/>
      <c r="Y95" s="24" t="n"/>
      <c r="Z95" s="24" t="n"/>
      <c r="AA95" s="69" t="n"/>
      <c r="AB95" s="69" t="n"/>
      <c r="AC95" s="26" t="n"/>
      <c r="AD95" s="26" t="n"/>
      <c r="AE95" s="69" t="n"/>
      <c r="AF95" s="24" t="n"/>
      <c r="AG95" s="24" t="n"/>
      <c r="AH95" s="69" t="n"/>
      <c r="AI95" s="69" t="n"/>
      <c r="AJ95" s="4" t="n"/>
    </row>
    <row r="96" ht="15.75" customHeight="1" s="757">
      <c r="A96" s="10" t="inlineStr">
        <is>
          <t>FIREFOX TARDA</t>
        </is>
      </c>
      <c r="B96" s="11" t="n"/>
      <c r="C96" s="11" t="n"/>
      <c r="D96" s="12" t="n"/>
      <c r="E96" s="24" t="n"/>
      <c r="F96" s="756" t="n"/>
      <c r="G96" s="756" t="n"/>
      <c r="H96" s="756" t="n"/>
      <c r="I96" s="756" t="n"/>
      <c r="J96" s="26" t="n"/>
      <c r="K96" s="24" t="n"/>
      <c r="L96" s="24" t="n"/>
      <c r="M96" s="756" t="n"/>
      <c r="N96" s="756" t="n"/>
      <c r="O96" s="756" t="n"/>
      <c r="P96" s="756" t="n"/>
      <c r="Q96" s="756" t="n"/>
      <c r="R96" s="24" t="n"/>
      <c r="S96" s="24" t="n"/>
      <c r="T96" s="756" t="n"/>
      <c r="U96" s="756" t="n"/>
      <c r="V96" s="756" t="n"/>
      <c r="W96" s="756" t="n"/>
      <c r="X96" s="756" t="n"/>
      <c r="Y96" s="24" t="n"/>
      <c r="Z96" s="24" t="n"/>
      <c r="AA96" s="69" t="n"/>
      <c r="AB96" s="69" t="n"/>
      <c r="AC96" s="26" t="n"/>
      <c r="AD96" s="26" t="n"/>
      <c r="AE96" s="69" t="n"/>
      <c r="AF96" s="24" t="n"/>
      <c r="AG96" s="24" t="n"/>
      <c r="AH96" s="69" t="n"/>
      <c r="AI96" s="69" t="n"/>
      <c r="AJ96" s="4" t="n"/>
    </row>
  </sheetData>
  <mergeCells count="56">
    <mergeCell ref="AL9:AP9"/>
    <mergeCell ref="AL7:AQ7"/>
    <mergeCell ref="AL14:AO14"/>
    <mergeCell ref="A10:AI10"/>
    <mergeCell ref="AL46:AP46"/>
    <mergeCell ref="AL53:AN53"/>
    <mergeCell ref="AL28:AN28"/>
    <mergeCell ref="A58:AI58"/>
    <mergeCell ref="AL13:AN13"/>
    <mergeCell ref="A34:AI34"/>
    <mergeCell ref="AP84:AR84"/>
    <mergeCell ref="AO21:AR21"/>
    <mergeCell ref="AR78:AT78"/>
    <mergeCell ref="AL1:AO1"/>
    <mergeCell ref="AR9:AV9"/>
    <mergeCell ref="A82:AI82"/>
    <mergeCell ref="AL12:AN12"/>
    <mergeCell ref="AL85:AO85"/>
    <mergeCell ref="AL69:AO69"/>
    <mergeCell ref="AQ28:AS28"/>
    <mergeCell ref="AL22:AO22"/>
    <mergeCell ref="AL45:AP45"/>
    <mergeCell ref="AL30:AO30"/>
    <mergeCell ref="AL41:AP41"/>
    <mergeCell ref="AL6:AO6"/>
    <mergeCell ref="AL37:AP37"/>
    <mergeCell ref="AL4:AN4"/>
    <mergeCell ref="AL2:AO2"/>
    <mergeCell ref="AR2:AW2"/>
    <mergeCell ref="A90:AI90"/>
    <mergeCell ref="AL20:AN20"/>
    <mergeCell ref="AL21:AM21"/>
    <mergeCell ref="AL19:AN19"/>
    <mergeCell ref="A66:AI66"/>
    <mergeCell ref="AL77:AO77"/>
    <mergeCell ref="A18:AI18"/>
    <mergeCell ref="AO5:AP5"/>
    <mergeCell ref="AR30:AV30"/>
    <mergeCell ref="AL44:AN44"/>
    <mergeCell ref="AP13:AU13"/>
    <mergeCell ref="A74:AI74"/>
    <mergeCell ref="AR5:AS5"/>
    <mergeCell ref="A50:AI50"/>
    <mergeCell ref="A26:AI26"/>
    <mergeCell ref="AL5:AM5"/>
    <mergeCell ref="A2:AI2"/>
    <mergeCell ref="AQ45:AS45"/>
    <mergeCell ref="A42:AI42"/>
    <mergeCell ref="H1:P1"/>
    <mergeCell ref="AL38:AP38"/>
    <mergeCell ref="AL29:AP29"/>
    <mergeCell ref="AX31:BC31"/>
    <mergeCell ref="AL54:AP54"/>
    <mergeCell ref="AL36:AN36"/>
    <mergeCell ref="AL86:AN86"/>
    <mergeCell ref="AL71:AO71"/>
  </mergeCells>
  <printOptions horizontalCentered="1" verticalCentered="1"/>
  <pageMargins left="0.1181102362204725" right="0.1181102362204725" top="0.5511811023622047" bottom="0.5511811023622047" header="0.3149606299212598" footer="0.3149606299212598"/>
  <pageSetup orientation="landscape" paperSize="8" fitToHeight="0" horizontalDpi="1200" verticalDpi="12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L96"/>
  <sheetViews>
    <sheetView zoomScale="96" zoomScaleNormal="96" workbookViewId="0">
      <selection activeCell="AC28" sqref="AC28"/>
    </sheetView>
  </sheetViews>
  <sheetFormatPr baseColWidth="10" defaultColWidth="11.42578125" defaultRowHeight="15"/>
  <cols>
    <col width="19.28515625" customWidth="1" style="757" min="1" max="1"/>
    <col width="8.28515625" customWidth="1" style="757" min="2" max="2"/>
    <col width="7.85546875" customWidth="1" style="757" min="3" max="3"/>
    <col width="6.28515625" customWidth="1" style="757" min="4" max="4"/>
    <col width="3.7109375" bestFit="1" customWidth="1" style="757" min="5" max="5"/>
    <col width="4.5703125" customWidth="1" style="757" min="6" max="35"/>
    <col width="9.28515625" customWidth="1" style="6" min="36" max="36"/>
    <col width="6.5703125" customWidth="1" style="757" min="37" max="37"/>
    <col width="7.85546875" customWidth="1" style="757" min="38" max="38"/>
    <col width="4.5703125" customWidth="1" style="757" min="39" max="42"/>
    <col width="3.7109375" customWidth="1" style="757" min="43" max="43"/>
    <col width="6.5703125" customWidth="1" style="757" min="44" max="44"/>
    <col width="4.5703125" customWidth="1" style="757" min="45" max="48"/>
    <col width="5.85546875" customWidth="1" style="757" min="49" max="49"/>
    <col width="8.28515625" customWidth="1" style="757" min="50" max="50"/>
    <col width="5.28515625" customWidth="1" style="757" min="51" max="51"/>
    <col width="6.7109375" customWidth="1" style="757" min="52" max="52"/>
    <col width="7.5703125" customWidth="1" style="757" min="53" max="53"/>
    <col width="5.140625" customWidth="1" style="757" min="54" max="54"/>
    <col width="11.28515625" customWidth="1" style="757" min="55" max="55"/>
  </cols>
  <sheetData>
    <row r="1" ht="46.5" customHeight="1" s="757">
      <c r="A1" s="775" t="inlineStr">
        <is>
          <t>ACTUALITZAT 22/11/2023</t>
        </is>
      </c>
      <c r="H1" s="746" t="inlineStr">
        <is>
          <t>ANY 2024</t>
        </is>
      </c>
      <c r="I1" s="795" t="n"/>
      <c r="J1" s="795" t="n"/>
      <c r="K1" s="795" t="n"/>
      <c r="L1" s="795" t="n"/>
      <c r="M1" s="795" t="n"/>
      <c r="N1" s="795" t="n"/>
      <c r="O1" s="795" t="n"/>
      <c r="P1" s="795" t="n"/>
      <c r="AJ1" s="524" t="inlineStr">
        <is>
          <t>DIES</t>
        </is>
      </c>
      <c r="AL1" s="747" t="n"/>
      <c r="AR1" s="254" t="n"/>
      <c r="AS1" s="231" t="n"/>
      <c r="AT1" s="51" t="n"/>
      <c r="AU1" s="61" t="n"/>
      <c r="AV1" s="255" t="n"/>
      <c r="AW1" s="52" t="n"/>
      <c r="AX1" s="253" t="n"/>
      <c r="AY1" s="542" t="n"/>
      <c r="AZ1" s="543" t="n"/>
      <c r="BB1" s="116" t="n"/>
    </row>
    <row r="2" ht="21" customFormat="1" customHeight="1" s="4">
      <c r="A2" s="788" t="inlineStr">
        <is>
          <t>GENER</t>
        </is>
      </c>
      <c r="B2" s="156" t="n"/>
      <c r="C2" s="156" t="n"/>
      <c r="D2" s="156" t="n"/>
      <c r="E2" s="156" t="n"/>
      <c r="F2" s="156" t="n"/>
      <c r="G2" s="156" t="n"/>
      <c r="H2" s="156" t="n"/>
      <c r="I2" s="156" t="n"/>
      <c r="J2" s="156" t="n"/>
      <c r="K2" s="156" t="n"/>
      <c r="L2" s="156" t="n"/>
      <c r="M2" s="156" t="n"/>
      <c r="N2" s="156" t="n"/>
      <c r="O2" s="156" t="n"/>
      <c r="P2" s="156" t="n"/>
      <c r="Q2" s="156" t="n"/>
      <c r="R2" s="156" t="n"/>
      <c r="S2" s="156" t="n"/>
      <c r="T2" s="156" t="n"/>
      <c r="U2" s="156" t="n"/>
      <c r="V2" s="156" t="n"/>
      <c r="W2" s="156" t="n"/>
      <c r="X2" s="156" t="n"/>
      <c r="Y2" s="156" t="n"/>
      <c r="Z2" s="156" t="n"/>
      <c r="AA2" s="156" t="n"/>
      <c r="AB2" s="156" t="n"/>
      <c r="AC2" s="156" t="n"/>
      <c r="AD2" s="156" t="n"/>
      <c r="AE2" s="156" t="n"/>
      <c r="AF2" s="156" t="n"/>
      <c r="AG2" s="156" t="n"/>
      <c r="AH2" s="156" t="n"/>
      <c r="AI2" s="142" t="n"/>
      <c r="AJ2" s="524" t="n">
        <v>22</v>
      </c>
      <c r="AL2" s="666" t="inlineStr">
        <is>
          <t>ADA</t>
        </is>
      </c>
      <c r="AP2" s="2" t="n"/>
      <c r="AQ2" s="2" t="n"/>
      <c r="AR2" s="666" t="inlineStr">
        <is>
          <t>FOAP</t>
        </is>
      </c>
      <c r="BB2" s="272" t="inlineStr">
        <is>
          <t>CONSORCI</t>
        </is>
      </c>
      <c r="BC2" s="272" t="n"/>
      <c r="BD2" s="272" t="n"/>
      <c r="BE2" s="272" t="n"/>
      <c r="BF2" s="272" t="n"/>
      <c r="BG2" s="272" t="n"/>
    </row>
    <row r="3" ht="63" customFormat="1" customHeight="1" s="5">
      <c r="A3" s="7" t="inlineStr">
        <is>
          <t>AULA</t>
        </is>
      </c>
      <c r="B3" s="8" t="inlineStr">
        <is>
          <t>INICI</t>
        </is>
      </c>
      <c r="C3" s="8" t="inlineStr">
        <is>
          <t>FINAL</t>
        </is>
      </c>
      <c r="D3" s="8" t="inlineStr">
        <is>
          <t>AULA</t>
        </is>
      </c>
      <c r="E3" s="9" t="n">
        <v>45292</v>
      </c>
      <c r="F3" s="9" t="n">
        <v>45293</v>
      </c>
      <c r="G3" s="9" t="n">
        <v>45294</v>
      </c>
      <c r="H3" s="9" t="n">
        <v>45295</v>
      </c>
      <c r="I3" s="9" t="n">
        <v>45296</v>
      </c>
      <c r="J3" s="9" t="n">
        <v>45297</v>
      </c>
      <c r="K3" s="9" t="n">
        <v>45298</v>
      </c>
      <c r="L3" s="9" t="n">
        <v>45299</v>
      </c>
      <c r="M3" s="9" t="n">
        <v>45300</v>
      </c>
      <c r="N3" s="9" t="n">
        <v>45301</v>
      </c>
      <c r="O3" s="9" t="n">
        <v>45302</v>
      </c>
      <c r="P3" s="9" t="n">
        <v>45303</v>
      </c>
      <c r="Q3" s="9" t="n">
        <v>45304</v>
      </c>
      <c r="R3" s="9" t="n">
        <v>45305</v>
      </c>
      <c r="S3" s="9" t="n">
        <v>45306</v>
      </c>
      <c r="T3" s="9" t="n">
        <v>45307</v>
      </c>
      <c r="U3" s="9" t="n">
        <v>45308</v>
      </c>
      <c r="V3" s="9" t="n">
        <v>45309</v>
      </c>
      <c r="W3" s="9" t="n">
        <v>45310</v>
      </c>
      <c r="X3" s="9" t="n">
        <v>45311</v>
      </c>
      <c r="Y3" s="9" t="n">
        <v>45312</v>
      </c>
      <c r="Z3" s="9" t="n">
        <v>45313</v>
      </c>
      <c r="AA3" s="9" t="n">
        <v>45314</v>
      </c>
      <c r="AB3" s="9" t="n">
        <v>45315</v>
      </c>
      <c r="AC3" s="9" t="n">
        <v>45316</v>
      </c>
      <c r="AD3" s="9" t="n">
        <v>45317</v>
      </c>
      <c r="AE3" s="9" t="n">
        <v>45318</v>
      </c>
      <c r="AF3" s="9" t="n">
        <v>45319</v>
      </c>
      <c r="AG3" s="9" t="n">
        <v>45320</v>
      </c>
      <c r="AH3" s="9" t="n">
        <v>45321</v>
      </c>
      <c r="AI3" s="9" t="n">
        <v>45322</v>
      </c>
      <c r="AJ3" s="4" t="n"/>
      <c r="AX3" s="775" t="n"/>
    </row>
    <row r="4" ht="15.75" customHeight="1" s="757">
      <c r="A4" s="10" t="inlineStr">
        <is>
          <t>GOOGLE MATINS</t>
        </is>
      </c>
      <c r="B4" s="11" t="n"/>
      <c r="C4" s="11" t="n"/>
      <c r="D4" s="12" t="n"/>
      <c r="E4" s="26" t="n"/>
      <c r="F4" s="85" t="n"/>
      <c r="G4" s="85" t="n"/>
      <c r="H4" s="85" t="n"/>
      <c r="I4" s="85" t="n"/>
      <c r="J4" s="26" t="n"/>
      <c r="K4" s="24" t="n"/>
      <c r="L4" s="756" t="n"/>
      <c r="M4" s="334" t="inlineStr">
        <is>
          <t>MF0969 -RAFA</t>
        </is>
      </c>
      <c r="N4" s="225" t="n"/>
      <c r="O4" s="225" t="n"/>
      <c r="P4" s="225" t="n"/>
      <c r="Q4" s="24" t="n"/>
      <c r="R4" s="24" t="n"/>
      <c r="S4" s="316" t="inlineStr">
        <is>
          <t>UF0517</t>
        </is>
      </c>
      <c r="T4" s="297" t="n"/>
      <c r="U4" s="225" t="n"/>
      <c r="V4" s="225" t="n"/>
      <c r="W4" s="225" t="n"/>
      <c r="X4" s="24" t="n"/>
      <c r="Y4" s="24" t="n"/>
      <c r="Z4" s="316" t="inlineStr">
        <is>
          <t>UF0518</t>
        </is>
      </c>
      <c r="AA4" s="297" t="n"/>
      <c r="AB4" s="225" t="n"/>
      <c r="AC4" s="225" t="n"/>
      <c r="AD4" s="225" t="n"/>
      <c r="AE4" s="24" t="n"/>
      <c r="AF4" s="24" t="n"/>
      <c r="AG4" s="225" t="n"/>
      <c r="AH4" s="225" t="n"/>
      <c r="AI4" s="225" t="n"/>
      <c r="AJ4" s="4" t="n"/>
      <c r="AK4" s="226" t="n">
        <v>17</v>
      </c>
      <c r="AL4" s="752" t="inlineStr">
        <is>
          <t>001-CEN 408 (6H)</t>
        </is>
      </c>
    </row>
    <row r="5" ht="16.5" customHeight="1" s="757" thickBot="1">
      <c r="A5" s="14" t="inlineStr">
        <is>
          <t>FIREFOX MATINS</t>
        </is>
      </c>
      <c r="B5" s="15" t="n"/>
      <c r="C5" s="15" t="n"/>
      <c r="D5" s="15" t="n"/>
      <c r="E5" s="27" t="n"/>
      <c r="F5" s="87" t="n"/>
      <c r="G5" s="87" t="n"/>
      <c r="H5" s="87" t="n"/>
      <c r="I5" s="87" t="n"/>
      <c r="J5" s="27" t="n"/>
      <c r="K5" s="35" t="n"/>
      <c r="L5" s="778" t="n"/>
      <c r="M5" s="778" t="n"/>
      <c r="N5" s="778" t="n"/>
      <c r="O5" s="778" t="n"/>
      <c r="P5" s="778" t="n"/>
      <c r="Q5" s="35" t="n"/>
      <c r="R5" s="35" t="n"/>
      <c r="T5" s="176" t="n">
        <v>4</v>
      </c>
      <c r="U5" s="176" t="inlineStr">
        <is>
          <t>FENOY</t>
        </is>
      </c>
      <c r="V5" s="176" t="n"/>
      <c r="W5" s="176" t="n"/>
      <c r="X5" s="35" t="n"/>
      <c r="Y5" s="35" t="n"/>
      <c r="Z5" s="176" t="n"/>
      <c r="AA5" s="176" t="n"/>
      <c r="AB5" s="176" t="n"/>
      <c r="AC5" s="176" t="n"/>
      <c r="AD5" s="176" t="inlineStr">
        <is>
          <t>5 - FENOY</t>
        </is>
      </c>
      <c r="AE5" s="35" t="n"/>
      <c r="AF5" s="35" t="n"/>
      <c r="AG5" s="176" t="n"/>
      <c r="AH5" s="176" t="n"/>
      <c r="AI5" s="176" t="n"/>
      <c r="AJ5" s="4" t="n"/>
      <c r="AL5" s="665" t="inlineStr">
        <is>
          <t>4--FCOI13</t>
        </is>
      </c>
      <c r="AN5" s="775" t="n"/>
      <c r="AO5" s="667" t="inlineStr">
        <is>
          <t>5--FCOI21</t>
        </is>
      </c>
      <c r="AR5" s="668" t="n"/>
    </row>
    <row r="6" ht="15.75" customHeight="1" s="757" thickTop="1">
      <c r="A6" s="17" t="inlineStr">
        <is>
          <t>GOOGLE TARDA</t>
        </is>
      </c>
      <c r="B6" s="18" t="n"/>
      <c r="C6" s="18" t="n"/>
      <c r="D6" s="18" t="n"/>
      <c r="E6" s="28" t="n"/>
      <c r="F6" s="89" t="n"/>
      <c r="G6" s="89" t="n"/>
      <c r="H6" s="89" t="n"/>
      <c r="I6" s="89" t="n"/>
      <c r="J6" s="28" t="n"/>
      <c r="K6" s="39" t="n"/>
      <c r="L6" s="755" t="n"/>
      <c r="M6" s="755" t="n"/>
      <c r="N6" s="755" t="n"/>
      <c r="O6" s="755" t="n"/>
      <c r="P6" s="755" t="n"/>
      <c r="Q6" s="39" t="n"/>
      <c r="R6" s="39" t="n"/>
      <c r="S6" s="613" t="inlineStr">
        <is>
          <t>FCOV05 ED1 - JOANA</t>
        </is>
      </c>
      <c r="T6" s="230" t="n"/>
      <c r="U6" s="230" t="n"/>
      <c r="V6" s="230" t="n"/>
      <c r="W6" s="230" t="n"/>
      <c r="X6" s="39" t="n"/>
      <c r="Y6" s="39" t="n"/>
      <c r="Z6" s="230" t="n"/>
      <c r="AA6" s="230" t="n"/>
      <c r="AB6" s="230" t="n"/>
      <c r="AC6" s="230" t="n"/>
      <c r="AD6" s="230" t="n"/>
      <c r="AE6" s="39" t="n"/>
      <c r="AF6" s="39" t="n"/>
      <c r="AG6" s="230" t="n"/>
      <c r="AH6" s="230" t="n"/>
      <c r="AI6" s="230" t="n"/>
      <c r="AJ6" s="140" t="n"/>
      <c r="AK6" t="n">
        <v>13</v>
      </c>
      <c r="AL6" s="739" t="inlineStr">
        <is>
          <t>004-FCOV05 1A ED (5H)</t>
        </is>
      </c>
    </row>
    <row r="7" ht="18.75" customHeight="1" s="757">
      <c r="A7" s="10" t="inlineStr">
        <is>
          <t>FIREFOX TARDA</t>
        </is>
      </c>
      <c r="B7" s="11" t="n"/>
      <c r="C7" s="11" t="n"/>
      <c r="D7" s="12" t="n"/>
      <c r="E7" s="26" t="n"/>
      <c r="F7" s="85" t="n"/>
      <c r="G7" s="85" t="n"/>
      <c r="H7" s="85" t="n"/>
      <c r="I7" s="85" t="n"/>
      <c r="J7" s="26" t="n"/>
      <c r="K7" s="24" t="n"/>
      <c r="L7" s="756" t="n"/>
      <c r="M7" s="85" t="n"/>
      <c r="N7" s="85" t="n"/>
      <c r="O7" s="85" t="n"/>
      <c r="P7" s="85" t="n"/>
      <c r="Q7" s="24" t="n"/>
      <c r="R7" s="24" t="n"/>
      <c r="S7" s="33" t="n"/>
      <c r="T7" s="33" t="n"/>
      <c r="U7" s="756" t="n"/>
      <c r="V7" s="756" t="n"/>
      <c r="W7" s="756" t="n"/>
      <c r="X7" s="24" t="n"/>
      <c r="Y7" s="24" t="n"/>
      <c r="Z7" s="342" t="n"/>
      <c r="AA7" s="342" t="n"/>
      <c r="AB7" s="756" t="n"/>
      <c r="AC7" s="294" t="n"/>
      <c r="AD7" s="756" t="n"/>
      <c r="AE7" s="24" t="n"/>
      <c r="AF7" s="24" t="n"/>
      <c r="AG7" s="33" t="inlineStr">
        <is>
          <t>1-CRR</t>
        </is>
      </c>
      <c r="AH7" s="33" t="n"/>
      <c r="AI7" s="274" t="n"/>
      <c r="AJ7" s="140" t="n"/>
      <c r="AL7" s="662" t="inlineStr">
        <is>
          <t>RECICLATGE PRIMERS AUXILIS</t>
        </is>
      </c>
      <c r="AS7" s="116" t="inlineStr">
        <is>
          <t>1-OPERACIÓ CARRETONS</t>
        </is>
      </c>
      <c r="AT7" s="116" t="n"/>
      <c r="AU7" s="116" t="n"/>
      <c r="AV7" s="116" t="n"/>
      <c r="AW7" s="116" t="n"/>
      <c r="AX7" s="293" t="n">
        <v>1</v>
      </c>
      <c r="AY7" s="775" t="inlineStr">
        <is>
          <t>1 VAM</t>
        </is>
      </c>
      <c r="BA7" s="342" t="n"/>
      <c r="BB7" s="342" t="n"/>
      <c r="BC7" s="775" t="inlineStr">
        <is>
          <t>2ª OPCION PRIMERS AUXILIS</t>
        </is>
      </c>
    </row>
    <row r="8" ht="15.75" customHeight="1" s="757">
      <c r="A8" s="10" t="inlineStr">
        <is>
          <t>TARRAGONA mati</t>
        </is>
      </c>
      <c r="B8" s="11" t="n"/>
      <c r="C8" s="11" t="n"/>
      <c r="D8" s="12" t="n"/>
      <c r="E8" s="26" t="n"/>
      <c r="F8" s="85" t="n"/>
      <c r="G8" s="85" t="n"/>
      <c r="H8" s="85" t="n"/>
      <c r="I8" s="85" t="n"/>
      <c r="J8" s="26" t="n"/>
      <c r="K8" s="24" t="n"/>
      <c r="L8" s="756" t="n"/>
      <c r="M8" s="85" t="n"/>
      <c r="N8" s="85" t="n"/>
      <c r="O8" s="85" t="n"/>
      <c r="P8" s="85" t="n"/>
      <c r="Q8" s="24" t="n"/>
      <c r="R8" s="24" t="n"/>
      <c r="S8" s="756" t="n"/>
      <c r="T8" s="85" t="n"/>
      <c r="U8" s="85" t="n"/>
      <c r="V8" s="85" t="n"/>
      <c r="W8" s="85" t="n"/>
      <c r="X8" s="24" t="n"/>
      <c r="Y8" s="24" t="n"/>
      <c r="Z8" s="756" t="n"/>
      <c r="AA8" s="756" t="n"/>
      <c r="AB8" s="756" t="n"/>
      <c r="AC8" s="756" t="n"/>
      <c r="AD8" s="756" t="n"/>
      <c r="AE8" s="24" t="n"/>
      <c r="AF8" s="24" t="n"/>
      <c r="AG8" s="756" t="n"/>
      <c r="AH8" s="756" t="n"/>
      <c r="AI8" s="756" t="n"/>
      <c r="AJ8" s="4" t="n"/>
    </row>
    <row r="9" ht="15.75" customHeight="1" s="757">
      <c r="A9" s="10" t="inlineStr">
        <is>
          <t>TARRAGONA tarda</t>
        </is>
      </c>
      <c r="B9" s="11" t="n"/>
      <c r="C9" s="11" t="n"/>
      <c r="D9" s="12" t="n"/>
      <c r="E9" s="26" t="n"/>
      <c r="F9" s="85" t="n"/>
      <c r="G9" s="85" t="n"/>
      <c r="H9" s="85" t="n"/>
      <c r="I9" s="85" t="n"/>
      <c r="J9" s="26" t="n"/>
      <c r="K9" s="24" t="n"/>
      <c r="L9" s="756" t="n"/>
      <c r="M9" s="85" t="n"/>
      <c r="N9" s="85" t="n"/>
      <c r="O9" s="85" t="n"/>
      <c r="P9" s="85" t="n"/>
      <c r="Q9" s="24" t="n"/>
      <c r="R9" s="24" t="n"/>
      <c r="S9" s="545" t="inlineStr">
        <is>
          <t>1-PERE</t>
        </is>
      </c>
      <c r="T9" s="33" t="n"/>
      <c r="U9" s="33" t="n"/>
      <c r="V9" s="33" t="n"/>
      <c r="W9" s="33" t="n"/>
      <c r="X9" s="24" t="n"/>
      <c r="Y9" s="24" t="n"/>
      <c r="Z9" s="33" t="n"/>
      <c r="AA9" s="33" t="n"/>
      <c r="AB9" s="33" t="n"/>
      <c r="AC9" s="33" t="n"/>
      <c r="AD9" s="33" t="n"/>
      <c r="AE9" s="24" t="n"/>
      <c r="AF9" s="24" t="n"/>
      <c r="AG9" s="756" t="n"/>
      <c r="AH9" s="756" t="n"/>
      <c r="AI9" s="756" t="n"/>
      <c r="AJ9" s="4" t="n"/>
      <c r="AL9" s="662" t="inlineStr">
        <is>
          <t>1-ACTIC- NIVELL INTERMEDI</t>
        </is>
      </c>
      <c r="AR9" s="657" t="n"/>
    </row>
    <row r="10" ht="18.75" customFormat="1" customHeight="1" s="4">
      <c r="A10" s="788" t="inlineStr">
        <is>
          <t>FEBRER</t>
        </is>
      </c>
      <c r="B10" s="156" t="n"/>
      <c r="C10" s="156" t="n"/>
      <c r="D10" s="156" t="n"/>
      <c r="E10" s="156" t="n"/>
      <c r="F10" s="156" t="n"/>
      <c r="G10" s="156" t="n"/>
      <c r="H10" s="156" t="n"/>
      <c r="I10" s="156" t="n"/>
      <c r="J10" s="156" t="n"/>
      <c r="K10" s="156" t="n"/>
      <c r="L10" s="156" t="n"/>
      <c r="M10" s="156" t="n"/>
      <c r="N10" s="156" t="n"/>
      <c r="O10" s="156" t="n"/>
      <c r="P10" s="156" t="n"/>
      <c r="Q10" s="156" t="n"/>
      <c r="R10" s="156" t="n"/>
      <c r="S10" s="156" t="n"/>
      <c r="T10" s="156" t="n"/>
      <c r="U10" s="156" t="n"/>
      <c r="V10" s="156" t="n"/>
      <c r="W10" s="156" t="n"/>
      <c r="X10" s="156" t="n"/>
      <c r="Y10" s="156" t="n"/>
      <c r="Z10" s="156" t="n"/>
      <c r="AA10" s="156" t="n"/>
      <c r="AB10" s="156" t="n"/>
      <c r="AC10" s="156" t="n"/>
      <c r="AD10" s="156" t="n"/>
      <c r="AE10" s="156" t="n"/>
      <c r="AF10" s="156" t="n"/>
      <c r="AG10" s="156" t="n"/>
      <c r="AH10" s="156" t="n"/>
      <c r="AI10" s="142" t="n"/>
      <c r="AJ10" s="524" t="n">
        <v>21</v>
      </c>
      <c r="AK10">
        <f>22+21</f>
        <v/>
      </c>
    </row>
    <row r="11" ht="66" customFormat="1" customHeight="1" s="5">
      <c r="A11" s="7" t="inlineStr">
        <is>
          <t>AULA</t>
        </is>
      </c>
      <c r="B11" s="8" t="inlineStr">
        <is>
          <t>INICI</t>
        </is>
      </c>
      <c r="C11" s="8" t="inlineStr">
        <is>
          <t>FINAL</t>
        </is>
      </c>
      <c r="D11" s="8" t="inlineStr">
        <is>
          <t>AULA</t>
        </is>
      </c>
      <c r="E11" s="9" t="n">
        <v>45323</v>
      </c>
      <c r="F11" s="9" t="n">
        <v>45324</v>
      </c>
      <c r="G11" s="9" t="n">
        <v>45325</v>
      </c>
      <c r="H11" s="9" t="n">
        <v>45326</v>
      </c>
      <c r="I11" s="9" t="n">
        <v>45327</v>
      </c>
      <c r="J11" s="9" t="n">
        <v>45328</v>
      </c>
      <c r="K11" s="9" t="n">
        <v>45329</v>
      </c>
      <c r="L11" s="9" t="n">
        <v>45330</v>
      </c>
      <c r="M11" s="9" t="n">
        <v>45331</v>
      </c>
      <c r="N11" s="9" t="n">
        <v>45332</v>
      </c>
      <c r="O11" s="9" t="n">
        <v>45333</v>
      </c>
      <c r="P11" s="9" t="n">
        <v>45334</v>
      </c>
      <c r="Q11" s="9" t="n">
        <v>45335</v>
      </c>
      <c r="R11" s="9" t="n">
        <v>45336</v>
      </c>
      <c r="S11" s="9" t="n">
        <v>45337</v>
      </c>
      <c r="T11" s="9" t="n">
        <v>45338</v>
      </c>
      <c r="U11" s="9" t="n">
        <v>45339</v>
      </c>
      <c r="V11" s="9" t="n">
        <v>45340</v>
      </c>
      <c r="W11" s="9" t="n">
        <v>45341</v>
      </c>
      <c r="X11" s="9" t="n">
        <v>45342</v>
      </c>
      <c r="Y11" s="9" t="n">
        <v>45343</v>
      </c>
      <c r="Z11" s="9" t="n">
        <v>45344</v>
      </c>
      <c r="AA11" s="9" t="n">
        <v>45345</v>
      </c>
      <c r="AB11" s="9" t="n">
        <v>45346</v>
      </c>
      <c r="AC11" s="9" t="n">
        <v>45347</v>
      </c>
      <c r="AD11" s="9" t="n">
        <v>45348</v>
      </c>
      <c r="AE11" s="9" t="n">
        <v>45349</v>
      </c>
      <c r="AF11" s="9" t="n">
        <v>45350</v>
      </c>
      <c r="AG11" s="9" t="n">
        <v>45351</v>
      </c>
      <c r="AH11" s="9" t="n"/>
      <c r="AI11" s="9" t="n"/>
      <c r="AJ11" s="4" t="n"/>
    </row>
    <row r="12" ht="15.75" customHeight="1" s="757">
      <c r="A12" s="10" t="inlineStr">
        <is>
          <t>GOOGLE MATINS</t>
        </is>
      </c>
      <c r="B12" s="11" t="n"/>
      <c r="C12" s="11" t="n"/>
      <c r="D12" s="12" t="n"/>
      <c r="E12" s="225" t="n"/>
      <c r="F12" s="225" t="n"/>
      <c r="G12" s="24" t="n"/>
      <c r="H12" s="24" t="n"/>
      <c r="I12" s="225" t="n"/>
      <c r="J12" s="225" t="n"/>
      <c r="K12" s="225" t="n"/>
      <c r="L12" s="225" t="n"/>
      <c r="M12" s="225" t="n"/>
      <c r="N12" s="24" t="n"/>
      <c r="O12" s="24" t="n"/>
      <c r="P12" s="316" t="inlineStr">
        <is>
          <t>UF0519</t>
        </is>
      </c>
      <c r="Q12" s="335" t="inlineStr">
        <is>
          <t>MF0970-INMA/MARIA?</t>
        </is>
      </c>
      <c r="R12" s="225" t="n"/>
      <c r="S12" s="225" t="n"/>
      <c r="T12" s="225" t="n"/>
      <c r="U12" s="24" t="n"/>
      <c r="V12" s="24" t="n"/>
      <c r="W12" s="225" t="n"/>
      <c r="X12" s="225" t="n"/>
      <c r="Y12" s="225" t="n"/>
      <c r="Z12" s="317" t="inlineStr">
        <is>
          <t>UF0520</t>
        </is>
      </c>
      <c r="AA12" s="319" t="n"/>
      <c r="AB12" s="24" t="n"/>
      <c r="AC12" s="24" t="n"/>
      <c r="AD12" s="318" t="inlineStr">
        <is>
          <t>UF0521</t>
        </is>
      </c>
      <c r="AE12" s="225" t="n"/>
      <c r="AF12" s="225" t="n"/>
      <c r="AG12" s="225" t="n"/>
      <c r="AH12" s="756" t="n"/>
      <c r="AI12" s="756" t="n"/>
      <c r="AJ12" s="4" t="n"/>
      <c r="AK12" s="226">
        <f>AK4+AJ10</f>
        <v/>
      </c>
      <c r="AL12" s="752" t="inlineStr">
        <is>
          <t>001-CEN 408 (6H)</t>
        </is>
      </c>
    </row>
    <row r="13" ht="16.5" customHeight="1" s="757" thickBot="1">
      <c r="A13" s="14" t="inlineStr">
        <is>
          <t>FIREFOX MATINS</t>
        </is>
      </c>
      <c r="B13" s="15" t="n"/>
      <c r="C13" s="15" t="n"/>
      <c r="D13" s="15" t="n"/>
      <c r="E13" s="176" t="n">
        <v>5</v>
      </c>
      <c r="F13" s="176" t="n"/>
      <c r="G13" s="35" t="n"/>
      <c r="H13" s="35" t="n"/>
      <c r="I13" s="176" t="n"/>
      <c r="J13" s="176" t="n"/>
      <c r="K13" s="176" t="n"/>
      <c r="L13" s="176" t="n"/>
      <c r="M13" s="778" t="n"/>
      <c r="N13" s="35" t="n"/>
      <c r="O13" s="35" t="n"/>
      <c r="P13" s="778" t="n"/>
      <c r="Q13" s="778" t="n"/>
      <c r="R13" s="778" t="n"/>
      <c r="S13" s="778" t="n"/>
      <c r="T13" s="778" t="n"/>
      <c r="U13" s="35" t="n"/>
      <c r="V13" s="35" t="n"/>
      <c r="W13" s="287" t="n"/>
      <c r="X13" s="176" t="n">
        <v>7</v>
      </c>
      <c r="Y13" s="176" t="inlineStr">
        <is>
          <t>MARIA MATEU</t>
        </is>
      </c>
      <c r="Z13" s="176" t="n"/>
      <c r="AA13" s="176" t="n"/>
      <c r="AB13" s="35" t="n"/>
      <c r="AC13" s="35" t="n"/>
      <c r="AD13" s="176" t="n"/>
      <c r="AE13" s="176" t="n"/>
      <c r="AF13" s="176" t="n"/>
      <c r="AG13" s="176" t="n"/>
      <c r="AH13" s="778" t="n"/>
      <c r="AI13" s="778" t="n"/>
      <c r="AJ13" s="4" t="n"/>
      <c r="AL13" s="665" t="inlineStr">
        <is>
          <t>5--FCOI21</t>
        </is>
      </c>
      <c r="AP13" s="664" t="inlineStr">
        <is>
          <t>7- ADGG_ITI01 ED. TEXTOS(5H)</t>
        </is>
      </c>
      <c r="AW13" s="287" t="n"/>
      <c r="AX13" s="775" t="inlineStr">
        <is>
          <t>2 VAM</t>
        </is>
      </c>
    </row>
    <row r="14" ht="16.5" customHeight="1" s="757" thickTop="1">
      <c r="A14" s="17" t="inlineStr">
        <is>
          <t>GOOGLE TARDA</t>
        </is>
      </c>
      <c r="B14" s="18" t="n"/>
      <c r="C14" s="18" t="n"/>
      <c r="D14" s="18" t="n"/>
      <c r="E14" s="230" t="n"/>
      <c r="F14" s="230" t="n"/>
      <c r="G14" s="39" t="n"/>
      <c r="H14" s="39" t="n"/>
      <c r="I14" s="230" t="n"/>
      <c r="J14" s="230" t="n"/>
      <c r="K14" s="230" t="n"/>
      <c r="L14" s="230" t="n"/>
      <c r="M14" s="230" t="n"/>
      <c r="N14" s="39" t="n"/>
      <c r="O14" s="39" t="n"/>
      <c r="P14" s="230" t="n"/>
      <c r="Q14" s="230" t="n"/>
      <c r="R14" s="230" t="n"/>
      <c r="S14" s="230" t="n"/>
      <c r="T14" s="230" t="n"/>
      <c r="U14" s="39" t="n"/>
      <c r="V14" s="39" t="n"/>
      <c r="W14" s="230" t="n"/>
      <c r="X14" s="230" t="n"/>
      <c r="Y14" s="230" t="n"/>
      <c r="Z14" s="230" t="n"/>
      <c r="AA14" s="230" t="n"/>
      <c r="AB14" s="39" t="n"/>
      <c r="AC14" s="39" t="n"/>
      <c r="AD14" s="230" t="n"/>
      <c r="AE14" s="230" t="n"/>
      <c r="AF14" s="230" t="n"/>
      <c r="AG14" s="230" t="n"/>
      <c r="AH14" s="755" t="n"/>
      <c r="AI14" s="755" t="n"/>
      <c r="AJ14" s="140" t="n"/>
      <c r="AK14">
        <f>AK6+AJ10</f>
        <v/>
      </c>
      <c r="AL14" s="739" t="inlineStr">
        <is>
          <t>004-FCOV05 1A ED (5H)</t>
        </is>
      </c>
    </row>
    <row r="15" ht="18.75" customHeight="1" s="757">
      <c r="A15" s="10" t="inlineStr">
        <is>
          <t>FIREFOX TARDA</t>
        </is>
      </c>
      <c r="B15" s="11" t="n"/>
      <c r="C15" s="11" t="n"/>
      <c r="D15" s="12" t="n"/>
      <c r="E15" s="274" t="n">
        <v>1</v>
      </c>
      <c r="F15" s="33" t="n"/>
      <c r="G15" s="24" t="n"/>
      <c r="H15" s="24" t="n"/>
      <c r="I15" s="342" t="n"/>
      <c r="J15" s="342" t="n"/>
      <c r="K15" s="756" t="n"/>
      <c r="L15" s="756" t="n"/>
      <c r="M15" s="756" t="n"/>
      <c r="N15" s="24" t="n"/>
      <c r="O15" s="24" t="n"/>
      <c r="Q15" s="23" t="n">
        <v>6</v>
      </c>
      <c r="R15" s="56" t="inlineStr">
        <is>
          <t>PERE</t>
        </is>
      </c>
      <c r="S15" s="23" t="n"/>
      <c r="T15" s="23" t="n"/>
      <c r="U15" s="24" t="n"/>
      <c r="V15" s="24" t="n"/>
      <c r="W15" s="23" t="n"/>
      <c r="X15" s="23" t="n"/>
      <c r="Y15" s="23" t="n"/>
      <c r="Z15" s="23" t="n"/>
      <c r="AA15" s="23" t="n"/>
      <c r="AB15" s="24" t="n"/>
      <c r="AC15" s="24" t="n"/>
      <c r="AD15" s="342" t="n"/>
      <c r="AE15" s="342" t="n"/>
      <c r="AF15" s="756" t="n"/>
      <c r="AG15" s="756" t="n"/>
      <c r="AH15" s="756" t="n"/>
      <c r="AI15" s="756" t="n"/>
      <c r="AJ15" s="4" t="n"/>
      <c r="AL15" s="56" t="inlineStr">
        <is>
          <t>6- FCOI27 - EXCEL BASIC 1ºED)</t>
        </is>
      </c>
      <c r="AM15" s="56" t="n"/>
      <c r="AN15" s="56" t="n"/>
      <c r="AO15" s="56" t="n"/>
      <c r="AP15" s="56" t="n"/>
      <c r="AS15" s="116" t="inlineStr">
        <is>
          <t>1-OPERACIÓ CARRETONS</t>
        </is>
      </c>
      <c r="AT15" s="116" t="n"/>
      <c r="AU15" s="116" t="n"/>
      <c r="AV15" s="116" t="n"/>
      <c r="AW15" s="116" t="n"/>
      <c r="AY15" s="342" t="n"/>
      <c r="AZ15" s="342" t="n"/>
      <c r="BA15" s="775" t="inlineStr">
        <is>
          <t>3ª OPCION PRIMERS AUXILIS</t>
        </is>
      </c>
    </row>
    <row r="16" ht="15.75" customHeight="1" s="757">
      <c r="A16" s="10" t="inlineStr">
        <is>
          <t>TARRAGONA mati</t>
        </is>
      </c>
      <c r="B16" s="11" t="n"/>
      <c r="C16" s="11" t="n"/>
      <c r="D16" s="12" t="n"/>
      <c r="E16" s="756" t="n"/>
      <c r="F16" s="756" t="n"/>
      <c r="G16" s="24" t="n"/>
      <c r="H16" s="24" t="n"/>
      <c r="I16" s="756" t="n"/>
      <c r="J16" s="756" t="n"/>
      <c r="K16" s="756" t="n"/>
      <c r="L16" s="756" t="n"/>
      <c r="M16" s="756" t="n"/>
      <c r="N16" s="24" t="n"/>
      <c r="O16" s="24" t="n"/>
      <c r="P16" s="756" t="n"/>
      <c r="R16" s="756" t="n"/>
      <c r="S16" s="43" t="n"/>
      <c r="T16" s="756" t="n"/>
      <c r="U16" s="24" t="n"/>
      <c r="V16" s="24" t="n"/>
      <c r="W16" s="43" t="n"/>
      <c r="X16" s="756" t="n"/>
      <c r="Y16" s="43" t="n"/>
      <c r="Z16" s="756" t="n"/>
      <c r="AA16" s="756" t="n"/>
      <c r="AB16" s="24" t="n"/>
      <c r="AC16" s="24" t="n"/>
      <c r="AD16" s="756" t="n"/>
      <c r="AE16" s="756" t="n"/>
      <c r="AF16" s="756" t="n"/>
      <c r="AG16" s="756" t="n"/>
      <c r="AH16" s="756" t="n"/>
      <c r="AI16" s="756" t="n"/>
      <c r="AJ16" s="4" t="n"/>
      <c r="AL16" s="289" t="inlineStr">
        <is>
          <t>EAPC - EXCEL INTERMEDI</t>
        </is>
      </c>
    </row>
    <row r="17" ht="15.75" customHeight="1" s="757">
      <c r="A17" s="10" t="inlineStr">
        <is>
          <t>TARRAGONA tarda</t>
        </is>
      </c>
      <c r="B17" s="11" t="n"/>
      <c r="C17" s="11" t="n"/>
      <c r="D17" s="12" t="n"/>
      <c r="N17" s="24" t="n"/>
      <c r="O17" s="24" t="n"/>
      <c r="P17" s="756" t="n"/>
      <c r="Q17" s="283" t="n"/>
      <c r="R17" s="756" t="n"/>
      <c r="S17" s="756" t="n"/>
      <c r="T17" s="756" t="n"/>
      <c r="U17" s="24" t="n"/>
      <c r="V17" s="24" t="n"/>
      <c r="W17" s="756" t="n"/>
      <c r="X17" s="756" t="n"/>
      <c r="Y17" s="756" t="n"/>
      <c r="Z17" s="756" t="n"/>
      <c r="AA17" s="756" t="n"/>
      <c r="AB17" s="24" t="n"/>
      <c r="AC17" s="24" t="n"/>
      <c r="AD17" s="545" t="inlineStr">
        <is>
          <t>PERE</t>
        </is>
      </c>
      <c r="AE17" s="33" t="n"/>
      <c r="AF17" s="33" t="n"/>
      <c r="AG17" s="33" t="n"/>
      <c r="AH17" s="756" t="n"/>
      <c r="AI17" s="85" t="n"/>
      <c r="AJ17" s="4" t="n"/>
      <c r="AL17" s="661" t="inlineStr">
        <is>
          <t xml:space="preserve">2-(FCOI22)ACTIC- NIVELL INTERMEDI </t>
        </is>
      </c>
      <c r="AM17" s="662" t="n"/>
      <c r="AN17" s="662" t="n"/>
      <c r="AO17" s="662" t="n"/>
      <c r="AP17" s="662" t="n"/>
      <c r="AQ17" s="662" t="n"/>
    </row>
    <row r="18" ht="12" customFormat="1" customHeight="1" s="4" thickBot="1">
      <c r="A18" s="788" t="inlineStr">
        <is>
          <t>MARÇ</t>
        </is>
      </c>
      <c r="B18" s="156" t="n"/>
      <c r="C18" s="156" t="n"/>
      <c r="D18" s="156" t="n"/>
      <c r="E18" s="156" t="n"/>
      <c r="F18" s="156" t="n"/>
      <c r="G18" s="156" t="n"/>
      <c r="H18" s="156" t="n"/>
      <c r="I18" s="156" t="n"/>
      <c r="J18" s="156" t="n"/>
      <c r="K18" s="156" t="n"/>
      <c r="L18" s="156" t="n"/>
      <c r="M18" s="156" t="n"/>
      <c r="N18" s="156" t="n"/>
      <c r="O18" s="156" t="n"/>
      <c r="P18" s="156" t="n"/>
      <c r="Q18" s="156" t="n"/>
      <c r="R18" s="156" t="n"/>
      <c r="S18" s="156" t="n"/>
      <c r="T18" s="156" t="n"/>
      <c r="U18" s="156" t="n"/>
      <c r="V18" s="156" t="n"/>
      <c r="W18" s="156" t="n"/>
      <c r="X18" s="156" t="n"/>
      <c r="Y18" s="156" t="n"/>
      <c r="Z18" s="156" t="n"/>
      <c r="AA18" s="156" t="n"/>
      <c r="AB18" s="156" t="n"/>
      <c r="AC18" s="156" t="n"/>
      <c r="AD18" s="156" t="n"/>
      <c r="AE18" s="156" t="n"/>
      <c r="AF18" s="156" t="n"/>
      <c r="AG18" s="156" t="n"/>
      <c r="AH18" s="156" t="n"/>
      <c r="AI18" s="142" t="n"/>
      <c r="AJ18" s="524" t="n">
        <v>20</v>
      </c>
      <c r="AK18">
        <f>AK10+20</f>
        <v/>
      </c>
      <c r="AL18" s="775" t="n"/>
    </row>
    <row r="19" ht="67.5" customFormat="1" customHeight="1" s="5">
      <c r="A19" s="7" t="inlineStr">
        <is>
          <t>AULA</t>
        </is>
      </c>
      <c r="B19" s="8" t="inlineStr">
        <is>
          <t>INICI</t>
        </is>
      </c>
      <c r="C19" s="8" t="inlineStr">
        <is>
          <t>FINAL</t>
        </is>
      </c>
      <c r="D19" s="8" t="inlineStr">
        <is>
          <t>AULA</t>
        </is>
      </c>
      <c r="E19" s="9" t="n">
        <v>45352</v>
      </c>
      <c r="F19" s="9" t="n">
        <v>45353</v>
      </c>
      <c r="G19" s="9" t="n">
        <v>45354</v>
      </c>
      <c r="H19" s="9" t="n">
        <v>45355</v>
      </c>
      <c r="I19" s="9" t="n">
        <v>45356</v>
      </c>
      <c r="J19" s="9" t="n">
        <v>45357</v>
      </c>
      <c r="K19" s="9" t="n">
        <v>45358</v>
      </c>
      <c r="L19" s="9" t="n">
        <v>45359</v>
      </c>
      <c r="M19" s="9" t="n">
        <v>45360</v>
      </c>
      <c r="N19" s="9" t="n">
        <v>45361</v>
      </c>
      <c r="O19" s="9" t="n">
        <v>45362</v>
      </c>
      <c r="P19" s="9" t="n">
        <v>45363</v>
      </c>
      <c r="Q19" s="9" t="n">
        <v>45364</v>
      </c>
      <c r="R19" s="9" t="n">
        <v>45365</v>
      </c>
      <c r="S19" s="9" t="n">
        <v>45366</v>
      </c>
      <c r="T19" s="9" t="n">
        <v>45367</v>
      </c>
      <c r="U19" s="9" t="n">
        <v>45368</v>
      </c>
      <c r="V19" s="9" t="n">
        <v>45369</v>
      </c>
      <c r="W19" s="9" t="n">
        <v>45370</v>
      </c>
      <c r="X19" s="9" t="n">
        <v>45371</v>
      </c>
      <c r="Y19" s="9" t="n">
        <v>45372</v>
      </c>
      <c r="Z19" s="9" t="n">
        <v>45373</v>
      </c>
      <c r="AA19" s="9" t="n">
        <v>45374</v>
      </c>
      <c r="AB19" s="9" t="n">
        <v>45375</v>
      </c>
      <c r="AC19" s="9" t="n">
        <v>45376</v>
      </c>
      <c r="AD19" s="9" t="n">
        <v>45377</v>
      </c>
      <c r="AE19" s="9" t="n">
        <v>45378</v>
      </c>
      <c r="AF19" s="9" t="n">
        <v>45379</v>
      </c>
      <c r="AG19" s="9" t="n">
        <v>45380</v>
      </c>
      <c r="AH19" s="9" t="n">
        <v>45381</v>
      </c>
      <c r="AI19" s="9" t="n">
        <v>45382</v>
      </c>
      <c r="AJ19" s="4" t="n"/>
    </row>
    <row r="20" ht="15.75" customHeight="1" s="757">
      <c r="A20" s="10" t="inlineStr">
        <is>
          <t>GOOGLE MATINS</t>
        </is>
      </c>
      <c r="B20" s="11" t="n"/>
      <c r="C20" s="11" t="n"/>
      <c r="D20" s="12" t="n"/>
      <c r="E20" s="229" t="n"/>
      <c r="F20" s="119" t="n"/>
      <c r="G20" s="119" t="n"/>
      <c r="H20" s="227" t="n"/>
      <c r="I20" s="227" t="n"/>
      <c r="J20" s="227" t="n"/>
      <c r="K20" s="227" t="n"/>
      <c r="L20" s="227" t="n"/>
      <c r="M20" s="119" t="n"/>
      <c r="N20" s="119" t="n"/>
      <c r="O20" s="298" t="n"/>
      <c r="P20" s="335" t="inlineStr">
        <is>
          <t>MF0971-INMA</t>
        </is>
      </c>
      <c r="Q20" s="227" t="n"/>
      <c r="R20" s="229" t="n"/>
      <c r="S20" s="229" t="inlineStr">
        <is>
          <t>P</t>
        </is>
      </c>
      <c r="T20" s="119" t="n"/>
      <c r="U20" s="119" t="n"/>
      <c r="V20" s="227" t="n"/>
      <c r="W20" s="227" t="n"/>
      <c r="X20" s="227" t="n"/>
      <c r="Y20" s="227" t="n"/>
      <c r="Z20" s="227" t="n"/>
      <c r="AA20" s="119" t="n"/>
      <c r="AB20" s="119" t="n"/>
      <c r="AC20" s="320" t="inlineStr">
        <is>
          <t>UF0513</t>
        </is>
      </c>
      <c r="AD20" s="321" t="inlineStr">
        <is>
          <t>UF0514</t>
        </is>
      </c>
      <c r="AE20" s="227" t="n"/>
      <c r="AF20" s="227" t="n"/>
      <c r="AG20" s="218" t="n"/>
      <c r="AH20" s="119" t="n"/>
      <c r="AI20" s="119" t="n"/>
      <c r="AJ20" s="4" t="n"/>
      <c r="AK20" s="226">
        <f>AK12+AJ18</f>
        <v/>
      </c>
      <c r="AL20" s="586" t="inlineStr">
        <is>
          <t>001-CEN 408 (6H)</t>
        </is>
      </c>
      <c r="AM20" s="586" t="n"/>
      <c r="AN20" s="254" t="n"/>
    </row>
    <row r="21" ht="16.5" customHeight="1" s="757" thickBot="1">
      <c r="A21" s="14" t="inlineStr">
        <is>
          <t>FIREFOX MATINS</t>
        </is>
      </c>
      <c r="B21" s="15" t="n"/>
      <c r="C21" s="15" t="n"/>
      <c r="D21" s="15" t="n"/>
      <c r="E21" s="56" t="inlineStr">
        <is>
          <t>8 - MARIA MATEU</t>
        </is>
      </c>
      <c r="F21" s="35" t="n"/>
      <c r="G21" s="35" t="n"/>
      <c r="H21" s="176" t="n"/>
      <c r="I21" s="176" t="n"/>
      <c r="J21" s="176" t="n"/>
      <c r="K21" s="176" t="n"/>
      <c r="L21" s="176" t="n"/>
      <c r="M21" s="35" t="n"/>
      <c r="N21" s="35" t="n"/>
      <c r="O21" s="176" t="n"/>
      <c r="P21" s="176" t="n"/>
      <c r="Q21" s="176" t="n"/>
      <c r="R21" s="176" t="n"/>
      <c r="S21" s="287" t="n"/>
      <c r="T21" s="35" t="n"/>
      <c r="U21" s="35" t="n"/>
      <c r="V21" s="287" t="n"/>
      <c r="W21" s="778" t="n"/>
      <c r="X21" s="778" t="n"/>
      <c r="Y21" s="778" t="n"/>
      <c r="Z21" s="778" t="n"/>
      <c r="AA21" s="35" t="n"/>
      <c r="AB21" s="35" t="n"/>
      <c r="AC21" s="778" t="n"/>
      <c r="AD21" s="176" t="n">
        <v>10</v>
      </c>
      <c r="AE21" s="176" t="inlineStr">
        <is>
          <t>MARIA</t>
        </is>
      </c>
      <c r="AF21" s="176" t="n"/>
      <c r="AG21" s="27" t="n"/>
      <c r="AH21" s="35" t="n"/>
      <c r="AI21" s="35" t="n"/>
      <c r="AJ21" s="4" t="n"/>
      <c r="AL21" s="664" t="inlineStr">
        <is>
          <t>8 FCOI14 - CV</t>
        </is>
      </c>
      <c r="AO21" s="664" t="inlineStr">
        <is>
          <t>10-IFCM_IT02 (5H)</t>
        </is>
      </c>
      <c r="AT21" s="287" t="n"/>
      <c r="AU21" s="775" t="inlineStr">
        <is>
          <t>3 VAM</t>
        </is>
      </c>
    </row>
    <row r="22" ht="21.75" customHeight="1" s="757" thickTop="1">
      <c r="A22" s="17" t="inlineStr">
        <is>
          <t>GOOGLE TARDA</t>
        </is>
      </c>
      <c r="B22" s="18" t="n"/>
      <c r="C22" s="18" t="n"/>
      <c r="D22" s="18" t="n"/>
      <c r="E22" s="230" t="n"/>
      <c r="F22" s="39" t="n"/>
      <c r="G22" s="39" t="n"/>
      <c r="H22" s="230" t="n"/>
      <c r="I22" s="53" t="n"/>
      <c r="J22" s="340" t="inlineStr">
        <is>
          <t>FCOO03 MONTSE</t>
        </is>
      </c>
      <c r="K22" s="341" t="inlineStr">
        <is>
          <t>FCOS02 PABLO</t>
        </is>
      </c>
      <c r="L22" s="259" t="n"/>
      <c r="M22" s="39" t="n"/>
      <c r="N22" s="39" t="n"/>
      <c r="O22" s="223" t="n"/>
      <c r="P22" s="223" t="n"/>
      <c r="Q22" s="223" t="n"/>
      <c r="R22" s="314" t="inlineStr">
        <is>
          <t>MOD.1</t>
        </is>
      </c>
      <c r="S22" s="49" t="n"/>
      <c r="T22" s="39" t="n"/>
      <c r="U22" s="39" t="n"/>
      <c r="V22" s="313" t="n"/>
      <c r="W22" s="314" t="inlineStr">
        <is>
          <t>MOD.2</t>
        </is>
      </c>
      <c r="X22" s="49" t="n"/>
      <c r="Y22" s="622" t="n"/>
      <c r="Z22" s="315" t="inlineStr">
        <is>
          <t>MOD.3</t>
        </is>
      </c>
      <c r="AA22" s="39" t="n"/>
      <c r="AB22" s="39" t="n"/>
      <c r="AC22" s="49" t="n"/>
      <c r="AD22" s="755" t="n"/>
      <c r="AE22" s="755" t="n"/>
      <c r="AF22" s="755" t="n"/>
      <c r="AG22" s="28" t="n"/>
      <c r="AH22" s="39" t="n"/>
      <c r="AI22" s="39" t="n"/>
      <c r="AJ22" s="140" t="n"/>
      <c r="AK22" s="268">
        <f>AK14+2</f>
        <v/>
      </c>
      <c r="AL22" s="739" t="inlineStr">
        <is>
          <t>004-FCOV05 1A ED (5H)</t>
        </is>
      </c>
      <c r="AP22" s="942" t="inlineStr">
        <is>
          <t>019+020 FCO</t>
        </is>
      </c>
      <c r="AQ22" s="942" t="n"/>
      <c r="AR22" s="943" t="n"/>
      <c r="AS22" s="745" t="inlineStr">
        <is>
          <t>015- FCOI11ACTIC MITJ- FOAP(5 H)</t>
        </is>
      </c>
    </row>
    <row r="23" ht="15.75" customHeight="1" s="757">
      <c r="A23" s="10" t="inlineStr">
        <is>
          <t>FIREFOX TARDA</t>
        </is>
      </c>
      <c r="B23" s="11" t="n"/>
      <c r="C23" s="11" t="n"/>
      <c r="D23" s="12" t="n"/>
      <c r="E23" s="756" t="n"/>
      <c r="F23" s="24" t="n"/>
      <c r="G23" s="24" t="n"/>
      <c r="H23" s="756" t="n"/>
      <c r="I23" s="756" t="n"/>
      <c r="J23" s="756" t="n"/>
      <c r="K23" s="755" t="n"/>
      <c r="L23" s="756" t="n"/>
      <c r="M23" s="24" t="n"/>
      <c r="N23" s="24" t="n"/>
      <c r="P23" s="23" t="n">
        <v>9</v>
      </c>
      <c r="Q23" s="56" t="inlineStr">
        <is>
          <t>PERE</t>
        </is>
      </c>
      <c r="R23" s="23" t="n"/>
      <c r="S23" s="23" t="n"/>
      <c r="T23" s="24" t="n"/>
      <c r="U23" s="24" t="n"/>
      <c r="V23" s="23" t="n"/>
      <c r="W23" s="23" t="n"/>
      <c r="X23" s="23" t="n"/>
      <c r="Y23" s="23" t="n"/>
      <c r="Z23" s="23" t="n"/>
      <c r="AA23" s="24" t="n"/>
      <c r="AB23" s="24" t="n"/>
      <c r="AC23" s="756" t="n"/>
      <c r="AD23" s="756" t="n"/>
      <c r="AE23" s="756" t="n"/>
      <c r="AF23" s="756" t="n"/>
      <c r="AG23" s="26" t="n"/>
      <c r="AH23" s="24" t="n"/>
      <c r="AI23" s="24" t="n"/>
      <c r="AJ23" s="4" t="n"/>
      <c r="AL23" s="56" t="inlineStr">
        <is>
          <t>9-FCOI25 MIG</t>
        </is>
      </c>
      <c r="AM23" s="56" t="n"/>
      <c r="AN23" s="56" t="n"/>
      <c r="AP23" s="667" t="inlineStr">
        <is>
          <t>(EXAMEN)</t>
        </is>
      </c>
      <c r="AQ23" s="667" t="n"/>
      <c r="AT23" s="775" t="n"/>
    </row>
    <row r="24" ht="15.75" customHeight="1" s="757">
      <c r="A24" s="10" t="inlineStr">
        <is>
          <t>TARRAGONA mati</t>
        </is>
      </c>
      <c r="B24" s="11" t="n"/>
      <c r="C24" s="11" t="n"/>
      <c r="D24" s="12" t="n"/>
      <c r="E24" s="756" t="n"/>
      <c r="F24" s="24" t="n"/>
      <c r="G24" s="24" t="n"/>
      <c r="H24" s="289" t="inlineStr">
        <is>
          <t>RAF</t>
        </is>
      </c>
      <c r="I24" s="756" t="n"/>
      <c r="J24" s="43" t="n"/>
      <c r="K24" s="756" t="n"/>
      <c r="L24" s="756" t="n"/>
      <c r="M24" s="24" t="n"/>
      <c r="N24" s="24" t="n"/>
      <c r="O24" s="43" t="n"/>
      <c r="P24" s="756" t="n"/>
      <c r="Q24" s="756" t="n"/>
      <c r="R24" s="756" t="n"/>
      <c r="S24" s="756" t="n"/>
      <c r="T24" s="24" t="n"/>
      <c r="U24" s="24" t="n"/>
      <c r="V24" s="756" t="n"/>
      <c r="W24" s="756" t="n"/>
      <c r="X24" s="756" t="n"/>
      <c r="Y24" s="756" t="n"/>
      <c r="Z24" s="756" t="n"/>
      <c r="AA24" s="24" t="n"/>
      <c r="AB24" s="24" t="n"/>
      <c r="AC24" t="inlineStr">
        <is>
          <t>RAF</t>
        </is>
      </c>
      <c r="AD24" s="756" t="n"/>
      <c r="AE24" s="756" t="n"/>
      <c r="AF24" s="756" t="n"/>
      <c r="AG24" s="26" t="n"/>
      <c r="AH24" s="24" t="n"/>
      <c r="AI24" s="24" t="n"/>
      <c r="AJ24" s="4" t="n"/>
      <c r="AL24" s="289" t="inlineStr">
        <is>
          <t>EAPC - TEAMS I OUTLOOK</t>
        </is>
      </c>
      <c r="AM24" s="289" t="n"/>
      <c r="AN24" s="289" t="n"/>
      <c r="AO24" s="289" t="n"/>
      <c r="AR24" s="289" t="inlineStr">
        <is>
          <t>EAPC- SHAREPOINT</t>
        </is>
      </c>
      <c r="AS24" s="289" t="n"/>
    </row>
    <row r="25" ht="15.75" customHeight="1" s="757">
      <c r="A25" s="10" t="inlineStr">
        <is>
          <t>TARRAGONA tarda</t>
        </is>
      </c>
      <c r="B25" s="11" t="n"/>
      <c r="C25" s="11" t="n"/>
      <c r="D25" s="12" t="n"/>
      <c r="E25" s="33" t="n"/>
      <c r="F25" s="24" t="n"/>
      <c r="G25" s="24" t="n"/>
      <c r="H25" s="33" t="n"/>
      <c r="I25" s="33" t="n"/>
      <c r="J25" s="33" t="n"/>
      <c r="K25" s="33" t="n"/>
      <c r="L25" s="33" t="n"/>
      <c r="M25" s="24" t="n"/>
      <c r="N25" s="24" t="n"/>
      <c r="O25" s="756" t="n"/>
      <c r="P25" s="756" t="n"/>
      <c r="Q25" s="756" t="n"/>
      <c r="R25" s="756" t="n"/>
      <c r="S25" s="756" t="n"/>
      <c r="T25" s="24" t="n"/>
      <c r="U25" s="24" t="n"/>
      <c r="V25" s="756" t="n"/>
      <c r="W25" s="756" t="n"/>
      <c r="X25" s="756" t="n"/>
      <c r="Y25" s="756" t="n"/>
      <c r="Z25" s="756" t="n"/>
      <c r="AA25" s="24" t="n"/>
      <c r="AB25" s="24" t="n"/>
      <c r="AC25" s="756" t="n"/>
      <c r="AD25" s="756" t="n"/>
      <c r="AE25" s="756" t="n"/>
      <c r="AF25" s="756" t="n"/>
      <c r="AG25" s="26" t="n"/>
      <c r="AH25" s="24" t="n"/>
      <c r="AI25" s="24" t="n"/>
      <c r="AJ25" s="4" t="n"/>
      <c r="AL25" s="661" t="inlineStr">
        <is>
          <t xml:space="preserve">2-(FCOI22)ACTIC- NIVELL INTERMEDI </t>
        </is>
      </c>
      <c r="AM25" s="116" t="n"/>
      <c r="AN25" s="116" t="n"/>
      <c r="AO25" s="116" t="n"/>
      <c r="AP25" s="116" t="n"/>
      <c r="AQ25" s="116" t="n"/>
    </row>
    <row r="26" ht="19.5" customFormat="1" customHeight="1" s="4" thickBot="1">
      <c r="A26" s="788" t="inlineStr">
        <is>
          <t>ABRIL</t>
        </is>
      </c>
      <c r="B26" s="156" t="n"/>
      <c r="C26" s="156" t="n"/>
      <c r="D26" s="156" t="n"/>
      <c r="E26" s="156" t="n"/>
      <c r="F26" s="156" t="n"/>
      <c r="G26" s="156" t="n"/>
      <c r="H26" s="156" t="n"/>
      <c r="I26" s="156" t="n"/>
      <c r="J26" s="156" t="n"/>
      <c r="K26" s="156" t="n"/>
      <c r="L26" s="156" t="n"/>
      <c r="M26" s="156" t="n"/>
      <c r="N26" s="156" t="n"/>
      <c r="O26" s="156" t="n"/>
      <c r="P26" s="156" t="n"/>
      <c r="Q26" s="156" t="n"/>
      <c r="R26" s="156" t="n"/>
      <c r="S26" s="156" t="n"/>
      <c r="T26" s="156" t="n"/>
      <c r="U26" s="156" t="n"/>
      <c r="V26" s="156" t="n"/>
      <c r="W26" s="156" t="n"/>
      <c r="X26" s="156" t="n"/>
      <c r="Y26" s="156" t="n"/>
      <c r="Z26" s="156" t="n"/>
      <c r="AA26" s="156" t="n"/>
      <c r="AB26" s="156" t="n"/>
      <c r="AC26" s="156" t="n"/>
      <c r="AD26" s="156" t="n"/>
      <c r="AE26" s="156" t="n"/>
      <c r="AF26" s="156" t="n"/>
      <c r="AG26" s="156" t="n"/>
      <c r="AH26" s="156" t="n"/>
      <c r="AI26" s="142" t="n"/>
      <c r="AJ26" s="524" t="n">
        <v>21</v>
      </c>
      <c r="AK26" s="59">
        <f>AK18+21</f>
        <v/>
      </c>
    </row>
    <row r="27" ht="65.25" customFormat="1" customHeight="1" s="5">
      <c r="A27" s="7" t="inlineStr">
        <is>
          <t>AULA</t>
        </is>
      </c>
      <c r="B27" s="8" t="inlineStr">
        <is>
          <t>INICI</t>
        </is>
      </c>
      <c r="C27" s="8" t="inlineStr">
        <is>
          <t>FINAL</t>
        </is>
      </c>
      <c r="D27" s="8" t="inlineStr">
        <is>
          <t>AULA</t>
        </is>
      </c>
      <c r="E27" s="9" t="n">
        <v>45383</v>
      </c>
      <c r="F27" s="9" t="n">
        <v>45384</v>
      </c>
      <c r="G27" s="9" t="n">
        <v>45385</v>
      </c>
      <c r="H27" s="9" t="n">
        <v>45386</v>
      </c>
      <c r="I27" s="9" t="n">
        <v>45387</v>
      </c>
      <c r="J27" s="9" t="n">
        <v>45388</v>
      </c>
      <c r="K27" s="9" t="n">
        <v>45389</v>
      </c>
      <c r="L27" s="9" t="n">
        <v>45390</v>
      </c>
      <c r="M27" s="9" t="n">
        <v>45391</v>
      </c>
      <c r="N27" s="9" t="n">
        <v>45392</v>
      </c>
      <c r="O27" s="9" t="n">
        <v>45393</v>
      </c>
      <c r="P27" s="9" t="n">
        <v>45394</v>
      </c>
      <c r="Q27" s="9" t="n">
        <v>45395</v>
      </c>
      <c r="R27" s="9" t="n">
        <v>45396</v>
      </c>
      <c r="S27" s="9" t="n">
        <v>45397</v>
      </c>
      <c r="T27" s="9" t="n">
        <v>45398</v>
      </c>
      <c r="U27" s="9" t="n">
        <v>45399</v>
      </c>
      <c r="V27" s="9" t="n">
        <v>45400</v>
      </c>
      <c r="W27" s="9" t="n">
        <v>45401</v>
      </c>
      <c r="X27" s="9" t="n">
        <v>45402</v>
      </c>
      <c r="Y27" s="9" t="n">
        <v>45403</v>
      </c>
      <c r="Z27" s="9" t="n">
        <v>45404</v>
      </c>
      <c r="AA27" s="9" t="n">
        <v>45405</v>
      </c>
      <c r="AB27" s="9" t="n">
        <v>45406</v>
      </c>
      <c r="AC27" s="9" t="n">
        <v>45407</v>
      </c>
      <c r="AD27" s="9" t="n">
        <v>45408</v>
      </c>
      <c r="AE27" s="9" t="n">
        <v>45409</v>
      </c>
      <c r="AF27" s="9" t="n">
        <v>45410</v>
      </c>
      <c r="AG27" s="9" t="n">
        <v>45411</v>
      </c>
      <c r="AH27" s="9" t="n">
        <v>45412</v>
      </c>
      <c r="AI27" s="9" t="n"/>
      <c r="AJ27" s="4" t="n"/>
      <c r="AK27" s="242" t="n"/>
      <c r="AL27" s="243" t="n"/>
      <c r="AM27" s="243" t="n"/>
      <c r="AN27" s="243" t="n"/>
      <c r="AO27" s="243" t="n"/>
      <c r="AP27" s="243" t="n"/>
      <c r="AQ27" s="243" t="n"/>
      <c r="AR27" s="243" t="n"/>
      <c r="AS27" s="243" t="n"/>
      <c r="AT27" s="243" t="n"/>
      <c r="AU27" s="243" t="n"/>
      <c r="AV27" s="243" t="n"/>
      <c r="AW27" s="243" t="n"/>
      <c r="AX27" s="243" t="n"/>
    </row>
    <row r="28" ht="21" customHeight="1" s="757">
      <c r="A28" s="10" t="inlineStr">
        <is>
          <t>GOOGLE MATINS</t>
        </is>
      </c>
      <c r="B28" s="11" t="n"/>
      <c r="C28" s="11" t="n"/>
      <c r="D28" s="12" t="n"/>
      <c r="E28" s="26" t="n"/>
      <c r="F28" s="225" t="n"/>
      <c r="G28" s="225" t="n"/>
      <c r="H28" s="225" t="n"/>
      <c r="I28" s="225" t="n"/>
      <c r="J28" s="219" t="n"/>
      <c r="K28" s="219" t="n"/>
      <c r="L28" s="225" t="n"/>
      <c r="M28" s="225" t="n"/>
      <c r="N28" s="302" t="n"/>
      <c r="O28" s="303" t="inlineStr">
        <is>
          <t>FCOS02-PABLO</t>
        </is>
      </c>
      <c r="P28" s="299" t="n"/>
      <c r="Q28" s="554" t="n"/>
      <c r="R28" s="24" t="n"/>
      <c r="S28" s="73" t="n"/>
      <c r="T28" s="73" t="n"/>
      <c r="U28" s="73" t="n"/>
      <c r="V28" s="23" t="n">
        <v>11</v>
      </c>
      <c r="W28" s="56" t="inlineStr">
        <is>
          <t>MARIA</t>
        </is>
      </c>
      <c r="X28" s="24" t="n"/>
      <c r="Y28" s="24" t="n"/>
      <c r="Z28" s="23" t="n">
        <v>11</v>
      </c>
      <c r="AA28" s="23" t="n"/>
      <c r="AB28" s="23" t="n"/>
      <c r="AC28" s="23" t="n"/>
      <c r="AD28" s="23" t="n"/>
      <c r="AE28" s="300" t="n"/>
      <c r="AF28" s="301" t="n"/>
      <c r="AG28" s="304" t="inlineStr">
        <is>
          <t>FCOO03-MONTSE</t>
        </is>
      </c>
      <c r="AH28" s="73" t="n"/>
      <c r="AI28" s="756" t="n"/>
      <c r="AJ28" s="4" t="n"/>
      <c r="AK28" s="256">
        <f>AK20+7</f>
        <v/>
      </c>
      <c r="AL28" s="753" t="inlineStr">
        <is>
          <t>001-CEN 408 (6H)</t>
        </is>
      </c>
      <c r="AO28" s="623" t="inlineStr">
        <is>
          <t>006-FCO</t>
        </is>
      </c>
      <c r="AP28" s="263" t="n"/>
      <c r="AQ28" s="664" t="inlineStr">
        <is>
          <t>11-ADGD56 2ºED</t>
        </is>
      </c>
    </row>
    <row r="29" ht="16.5" customHeight="1" s="757" thickBot="1">
      <c r="A29" s="14" t="inlineStr">
        <is>
          <t>FIREFOX MATINS</t>
        </is>
      </c>
      <c r="B29" s="15" t="n"/>
      <c r="C29" s="15" t="n"/>
      <c r="D29" s="15" t="n"/>
      <c r="E29" s="27" t="n"/>
      <c r="F29" s="239" t="n">
        <v>10</v>
      </c>
      <c r="G29" s="239" t="n"/>
      <c r="H29" s="239" t="n"/>
      <c r="I29" s="239" t="n"/>
      <c r="J29" s="235" t="n"/>
      <c r="K29" s="235" t="n"/>
      <c r="L29" s="239" t="n"/>
      <c r="M29" s="130" t="n"/>
      <c r="N29" s="130" t="n"/>
      <c r="O29" s="130" t="n"/>
      <c r="P29" s="130" t="n"/>
      <c r="Q29" s="126" t="n"/>
      <c r="R29" s="126" t="n"/>
      <c r="S29" s="555" t="inlineStr">
        <is>
          <t>MF0343_1</t>
        </is>
      </c>
      <c r="T29" s="234" t="n"/>
      <c r="U29" s="234" t="n"/>
      <c r="V29" s="234" t="n"/>
      <c r="W29" s="234" t="n"/>
      <c r="X29" s="126" t="n"/>
      <c r="Y29" s="126" t="n"/>
      <c r="Z29" s="336" t="inlineStr">
        <is>
          <t>UC0343_1</t>
        </is>
      </c>
      <c r="AA29" s="337" t="inlineStr">
        <is>
          <t>MF0344_11</t>
        </is>
      </c>
      <c r="AB29" s="234" t="n"/>
      <c r="AC29" s="234" t="n"/>
      <c r="AD29" s="234" t="n"/>
      <c r="AE29" s="126" t="n"/>
      <c r="AF29" s="126" t="n"/>
      <c r="AG29" s="234" t="n"/>
      <c r="AH29" s="234" t="n"/>
      <c r="AI29" s="130" t="n"/>
      <c r="AJ29" s="4" t="n"/>
      <c r="AK29" t="n">
        <v>12</v>
      </c>
      <c r="AL29" s="743" t="inlineStr">
        <is>
          <t>005 -IMPE0108 (5H)-1a ED</t>
        </is>
      </c>
    </row>
    <row r="30" ht="16.5" customHeight="1" s="757" thickTop="1">
      <c r="A30" s="17" t="inlineStr">
        <is>
          <t>GOOGLE TARDA</t>
        </is>
      </c>
      <c r="B30" s="18" t="n"/>
      <c r="C30" s="18" t="n"/>
      <c r="D30" s="18" t="n"/>
      <c r="E30" s="28" t="n"/>
      <c r="F30" s="755" t="n"/>
      <c r="G30" s="755" t="n"/>
      <c r="H30" s="275" t="n"/>
      <c r="I30" s="755" t="n"/>
      <c r="J30" s="220" t="n"/>
      <c r="K30" s="220" t="n"/>
      <c r="L30" s="755" t="n"/>
      <c r="M30" s="755" t="n"/>
      <c r="N30" s="287" t="n"/>
      <c r="O30" s="275" t="n"/>
      <c r="P30" s="755" t="n"/>
      <c r="Q30" s="39" t="n"/>
      <c r="R30" s="39" t="n"/>
      <c r="S30" s="756" t="n"/>
      <c r="T30" s="755" t="n"/>
      <c r="U30" s="755" t="n"/>
      <c r="V30" s="275" t="n"/>
      <c r="W30" s="755" t="n"/>
      <c r="X30" s="39" t="n"/>
      <c r="Y30" s="39" t="n"/>
      <c r="Z30" s="755" t="n"/>
      <c r="AA30" s="755" t="n"/>
      <c r="AB30" s="755" t="n"/>
      <c r="AC30" s="275" t="n"/>
      <c r="AD30" s="755" t="n"/>
      <c r="AE30" s="39" t="n"/>
      <c r="AF30" s="39" t="n"/>
      <c r="AG30" s="755" t="n"/>
      <c r="AH30" s="755" t="n"/>
      <c r="AI30" s="755" t="n"/>
      <c r="AJ30" s="140" t="n"/>
      <c r="AL30" s="664" t="inlineStr">
        <is>
          <t>10-IFCM_IT02 (5H)</t>
        </is>
      </c>
      <c r="AR30" s="662" t="inlineStr">
        <is>
          <t>COMPTABILITAT BÀSICA</t>
        </is>
      </c>
      <c r="AX30" s="287" t="n"/>
      <c r="AY30" s="775" t="inlineStr">
        <is>
          <t>4 VAM</t>
        </is>
      </c>
    </row>
    <row r="31" ht="15.75" customHeight="1" s="757">
      <c r="A31" s="10" t="inlineStr">
        <is>
          <t>FIREFOX TARDA</t>
        </is>
      </c>
      <c r="B31" s="11" t="n"/>
      <c r="C31" s="11" t="n"/>
      <c r="D31" s="12" t="n"/>
      <c r="E31" s="26" t="n"/>
      <c r="F31" s="545" t="inlineStr">
        <is>
          <t>A - RAQUEL</t>
        </is>
      </c>
      <c r="G31" s="33" t="n"/>
      <c r="H31" s="756" t="n"/>
      <c r="I31" s="756" t="n"/>
      <c r="J31" s="219" t="n"/>
      <c r="K31" s="219" t="n"/>
      <c r="L31" s="33" t="inlineStr">
        <is>
          <t>C</t>
        </is>
      </c>
      <c r="M31" s="33" t="n"/>
      <c r="N31" s="33" t="n"/>
      <c r="O31" s="33" t="n"/>
      <c r="P31" s="33" t="n"/>
      <c r="Q31" s="24" t="n"/>
      <c r="R31" s="24" t="n"/>
      <c r="S31" s="33" t="n"/>
      <c r="T31" s="33" t="n"/>
      <c r="U31" s="33" t="n"/>
      <c r="V31" s="33" t="n"/>
      <c r="W31" s="33" t="n"/>
      <c r="X31" s="24" t="n"/>
      <c r="Y31" s="24" t="n"/>
      <c r="Z31" s="756" t="n"/>
      <c r="AA31" s="756" t="n"/>
      <c r="AB31" s="756" t="n"/>
      <c r="AC31" s="756" t="n"/>
      <c r="AE31" s="24" t="n"/>
      <c r="AF31" s="24" t="n"/>
      <c r="AG31" s="756" t="n"/>
      <c r="AH31" s="756" t="n"/>
      <c r="AI31" s="756" t="n"/>
      <c r="AJ31" s="4" t="n"/>
      <c r="AL31" s="116" t="inlineStr">
        <is>
          <t>ASSESORAMENT MODA IMATGE</t>
        </is>
      </c>
      <c r="AM31" s="116" t="n"/>
      <c r="AN31" s="116" t="n"/>
      <c r="AO31" s="116" t="n"/>
      <c r="AP31" s="116" t="n"/>
      <c r="AR31" s="116" t="inlineStr">
        <is>
          <t>COACHING DE FORTALESES</t>
        </is>
      </c>
      <c r="AS31" s="116" t="n"/>
      <c r="AT31" s="116" t="n"/>
      <c r="AU31" s="116" t="n"/>
      <c r="AV31" s="116" t="n"/>
    </row>
    <row r="32" ht="15.75" customHeight="1" s="757">
      <c r="A32" s="10" t="inlineStr">
        <is>
          <t>TARRAGONA mati</t>
        </is>
      </c>
      <c r="B32" s="11" t="n"/>
      <c r="C32" s="11" t="n"/>
      <c r="D32" s="12" t="n"/>
      <c r="E32" s="26" t="n"/>
      <c r="F32" s="756" t="n"/>
      <c r="G32" s="756" t="n"/>
      <c r="H32" s="756" t="n"/>
      <c r="I32" s="756" t="n"/>
      <c r="J32" s="219" t="n"/>
      <c r="K32" s="219" t="n"/>
      <c r="L32" s="289" t="inlineStr">
        <is>
          <t>RAF</t>
        </is>
      </c>
      <c r="M32" s="756" t="n"/>
      <c r="N32" s="756" t="n"/>
      <c r="O32" s="756" t="n"/>
      <c r="P32" s="756" t="n"/>
      <c r="Q32" s="24" t="n"/>
      <c r="R32" s="24" t="n"/>
      <c r="T32" s="756" t="n"/>
      <c r="V32" s="756" t="n"/>
      <c r="W32" s="756" t="n"/>
      <c r="X32" s="24" t="n"/>
      <c r="Y32" s="24" t="n"/>
      <c r="Z32" s="43" t="inlineStr">
        <is>
          <t>RAF</t>
        </is>
      </c>
      <c r="AA32" s="756" t="n"/>
      <c r="AB32" s="756" t="n"/>
      <c r="AC32" s="756" t="n"/>
      <c r="AD32" s="756" t="n"/>
      <c r="AE32" s="24" t="n"/>
      <c r="AF32" s="24" t="n"/>
      <c r="AH32" s="756" t="n"/>
      <c r="AI32" s="756" t="n"/>
      <c r="AJ32" s="4" t="n"/>
      <c r="AL32" s="289" t="inlineStr">
        <is>
          <t>EAPC -ONEDRIVE</t>
        </is>
      </c>
      <c r="AM32" s="289" t="n"/>
      <c r="AP32" s="289" t="inlineStr">
        <is>
          <t>EAPC- ONE NOTE</t>
        </is>
      </c>
      <c r="AQ32" s="289" t="n"/>
    </row>
    <row r="33" ht="15.75" customHeight="1" s="757">
      <c r="A33" s="10" t="inlineStr">
        <is>
          <t>TARRAGONA tarda</t>
        </is>
      </c>
      <c r="B33" s="11" t="n"/>
      <c r="C33" s="11" t="n"/>
      <c r="D33" s="12" t="n"/>
      <c r="E33" s="26" t="n"/>
      <c r="F33" s="756" t="n"/>
      <c r="G33" s="756" t="n"/>
      <c r="H33" s="756" t="n"/>
      <c r="I33" s="756" t="n"/>
      <c r="J33" s="219" t="n"/>
      <c r="K33" s="219" t="n"/>
      <c r="L33" s="756" t="n"/>
      <c r="M33" s="756" t="n"/>
      <c r="N33" s="756" t="n"/>
      <c r="O33" s="756" t="n"/>
      <c r="P33" s="756" t="n"/>
      <c r="Q33" s="24" t="n"/>
      <c r="R33" s="24" t="n"/>
      <c r="S33" s="756" t="n"/>
      <c r="T33" s="756" t="n"/>
      <c r="U33" s="756" t="n"/>
      <c r="V33" s="756" t="n"/>
      <c r="W33" s="756" t="n"/>
      <c r="X33" s="24" t="n"/>
      <c r="Y33" s="24" t="n"/>
      <c r="Z33" s="756" t="n"/>
      <c r="AA33" s="756" t="n"/>
      <c r="AB33" s="756" t="n"/>
      <c r="AC33" s="756" t="n"/>
      <c r="AD33" s="756" t="n"/>
      <c r="AE33" s="24" t="n"/>
      <c r="AF33" s="24" t="n"/>
      <c r="AG33" s="756" t="n"/>
      <c r="AH33" s="756" t="n"/>
      <c r="AI33" s="756" t="n"/>
      <c r="AJ33" s="4" t="n"/>
    </row>
    <row r="34" ht="19.5" customFormat="1" customHeight="1" s="4" thickBot="1">
      <c r="A34" s="788" t="inlineStr">
        <is>
          <t>MAIG</t>
        </is>
      </c>
      <c r="B34" s="156" t="n"/>
      <c r="C34" s="156" t="n"/>
      <c r="D34" s="156" t="n"/>
      <c r="E34" s="156" t="n"/>
      <c r="F34" s="156" t="n"/>
      <c r="G34" s="156" t="n"/>
      <c r="H34" s="156" t="n"/>
      <c r="I34" s="156" t="n"/>
      <c r="J34" s="156" t="n"/>
      <c r="K34" s="156" t="n"/>
      <c r="L34" s="156" t="n"/>
      <c r="M34" s="156" t="n"/>
      <c r="N34" s="156" t="n"/>
      <c r="O34" s="156" t="n"/>
      <c r="P34" s="156" t="n"/>
      <c r="Q34" s="156" t="n"/>
      <c r="R34" s="156" t="n"/>
      <c r="S34" s="156" t="n"/>
      <c r="T34" s="156" t="n"/>
      <c r="U34" s="156" t="n"/>
      <c r="V34" s="156" t="n"/>
      <c r="W34" s="156" t="n"/>
      <c r="X34" s="156" t="n"/>
      <c r="Y34" s="156" t="n"/>
      <c r="Z34" s="156" t="n"/>
      <c r="AA34" s="156" t="n"/>
      <c r="AB34" s="156" t="n"/>
      <c r="AC34" s="156" t="n"/>
      <c r="AD34" s="156" t="n"/>
      <c r="AE34" s="156" t="n"/>
      <c r="AF34" s="156" t="n"/>
      <c r="AG34" s="156" t="n"/>
      <c r="AH34" s="156" t="n"/>
      <c r="AI34" s="142" t="n"/>
      <c r="AJ34" s="524" t="n">
        <v>22</v>
      </c>
      <c r="AK34">
        <f>AK26+AJ34</f>
        <v/>
      </c>
    </row>
    <row r="35" ht="64.5" customHeight="1" s="757">
      <c r="A35" s="7" t="inlineStr">
        <is>
          <t>AULA</t>
        </is>
      </c>
      <c r="B35" s="8" t="inlineStr">
        <is>
          <t>INICI</t>
        </is>
      </c>
      <c r="C35" s="8" t="inlineStr">
        <is>
          <t>FINAL</t>
        </is>
      </c>
      <c r="D35" s="8" t="inlineStr">
        <is>
          <t>AULA</t>
        </is>
      </c>
      <c r="E35" s="171" t="n">
        <v>45413</v>
      </c>
      <c r="F35" s="171" t="n">
        <v>45414</v>
      </c>
      <c r="G35" s="171" t="n">
        <v>45415</v>
      </c>
      <c r="H35" s="171" t="n">
        <v>45416</v>
      </c>
      <c r="I35" s="171" t="n">
        <v>45417</v>
      </c>
      <c r="J35" s="171" t="n">
        <v>45418</v>
      </c>
      <c r="K35" s="171" t="n">
        <v>45053</v>
      </c>
      <c r="L35" s="171" t="n">
        <v>45420</v>
      </c>
      <c r="M35" s="171" t="n">
        <v>45421</v>
      </c>
      <c r="N35" s="171" t="n">
        <v>45422</v>
      </c>
      <c r="O35" s="171" t="n">
        <v>45423</v>
      </c>
      <c r="P35" s="171" t="n">
        <v>45424</v>
      </c>
      <c r="Q35" s="221" t="n">
        <v>45425</v>
      </c>
      <c r="R35" s="191" t="n">
        <v>45426</v>
      </c>
      <c r="S35" s="190" t="n">
        <v>45427</v>
      </c>
      <c r="T35" s="188" t="n">
        <v>45428</v>
      </c>
      <c r="U35" s="171" t="n">
        <v>45429</v>
      </c>
      <c r="V35" s="171" t="n">
        <v>45430</v>
      </c>
      <c r="W35" s="171" t="n">
        <v>45431</v>
      </c>
      <c r="X35" s="171" t="n">
        <v>45432</v>
      </c>
      <c r="Y35" s="171" t="n">
        <v>45433</v>
      </c>
      <c r="Z35" s="171" t="n">
        <v>45434</v>
      </c>
      <c r="AA35" s="171" t="n">
        <v>45435</v>
      </c>
      <c r="AB35" s="171" t="n">
        <v>45436</v>
      </c>
      <c r="AC35" s="171" t="n">
        <v>45437</v>
      </c>
      <c r="AD35" s="171" t="n">
        <v>45438</v>
      </c>
      <c r="AE35" s="171" t="n">
        <v>45439</v>
      </c>
      <c r="AF35" s="171" t="n">
        <v>45440</v>
      </c>
      <c r="AG35" s="171" t="n">
        <v>45441</v>
      </c>
      <c r="AH35" s="171" t="n">
        <v>45442</v>
      </c>
      <c r="AI35" s="171" t="n">
        <v>45443</v>
      </c>
      <c r="AJ35" s="4" t="n"/>
    </row>
    <row r="36" ht="15.75" customHeight="1" s="757">
      <c r="A36" s="10" t="inlineStr">
        <is>
          <t>GOOGLE MATINS</t>
        </is>
      </c>
      <c r="B36" s="11" t="n"/>
      <c r="C36" s="11" t="n"/>
      <c r="D36" s="12" t="n"/>
      <c r="E36" s="26" t="n"/>
      <c r="F36" s="327" t="inlineStr">
        <is>
          <t>MF0975_2 INMA</t>
        </is>
      </c>
      <c r="G36" s="29" t="n"/>
      <c r="H36" s="24" t="n"/>
      <c r="I36" s="24" t="n"/>
      <c r="J36" s="29" t="n"/>
      <c r="K36" s="29" t="n"/>
      <c r="L36" s="29" t="n"/>
      <c r="M36" s="29" t="n"/>
      <c r="N36" s="29" t="n"/>
      <c r="O36" s="24" t="n"/>
      <c r="P36" s="24" t="n"/>
      <c r="Q36" s="29" t="n"/>
      <c r="R36" s="29" t="n"/>
      <c r="S36" s="29" t="n"/>
      <c r="T36" s="29" t="n"/>
      <c r="U36" s="29" t="n"/>
      <c r="V36" s="24" t="n"/>
      <c r="W36" s="24" t="n"/>
      <c r="X36" s="29" t="n"/>
      <c r="Y36" s="29" t="n"/>
      <c r="Z36" s="322" t="n"/>
      <c r="AA36" s="328" t="inlineStr">
        <is>
          <t>MF0976_2 INMA</t>
        </is>
      </c>
      <c r="AB36" s="29" t="n"/>
      <c r="AC36" s="24" t="n"/>
      <c r="AD36" s="24" t="n"/>
      <c r="AE36" s="29" t="n"/>
      <c r="AF36" s="29" t="n"/>
      <c r="AG36" s="29" t="n"/>
      <c r="AH36" s="324" t="inlineStr">
        <is>
          <t>UF0349</t>
        </is>
      </c>
      <c r="AI36" s="323" t="n"/>
      <c r="AJ36" s="4" t="n"/>
      <c r="AK36" s="228">
        <f>AJ34+AP28</f>
        <v/>
      </c>
      <c r="AL36" s="525" t="inlineStr">
        <is>
          <t>007- CEN 0208 (6H)</t>
        </is>
      </c>
      <c r="AM36" s="525" t="n"/>
      <c r="AN36" s="525" t="n"/>
      <c r="AO36" s="525" t="n"/>
    </row>
    <row r="37" ht="16.5" customHeight="1" s="757" thickBot="1">
      <c r="A37" s="14" t="inlineStr">
        <is>
          <t>FIREFOX MATINS</t>
        </is>
      </c>
      <c r="B37" s="15" t="n"/>
      <c r="C37" s="15" t="n"/>
      <c r="D37" s="15" t="n"/>
      <c r="E37" s="27" t="n"/>
      <c r="F37" s="234" t="n"/>
      <c r="G37" s="234" t="n"/>
      <c r="H37" s="126" t="n"/>
      <c r="I37" s="126" t="n"/>
      <c r="J37" s="234" t="n"/>
      <c r="K37" s="234" t="n"/>
      <c r="L37" s="234" t="n"/>
      <c r="M37" s="336" t="inlineStr">
        <is>
          <t>UC0344_1</t>
        </is>
      </c>
      <c r="N37" s="337" t="inlineStr">
        <is>
          <t>MF0345_1</t>
        </is>
      </c>
      <c r="O37" s="126" t="n"/>
      <c r="P37" s="126" t="n"/>
      <c r="Q37" s="234" t="n"/>
      <c r="R37" s="234" t="n"/>
      <c r="S37" s="234" t="n"/>
      <c r="T37" s="234" t="n"/>
      <c r="U37" s="234" t="n"/>
      <c r="V37" s="126" t="n"/>
      <c r="W37" s="126" t="n"/>
      <c r="X37" s="234" t="n"/>
      <c r="Y37" s="234" t="n"/>
      <c r="Z37" s="234" t="n"/>
      <c r="AA37" s="236" t="n"/>
      <c r="AB37" s="234" t="n"/>
      <c r="AC37" s="126" t="n"/>
      <c r="AD37" s="126" t="n"/>
      <c r="AE37" s="234" t="n"/>
      <c r="AF37" s="234" t="n"/>
      <c r="AG37" s="234" t="n"/>
      <c r="AH37" s="234" t="n"/>
      <c r="AI37" s="234" t="n"/>
      <c r="AJ37" s="4" t="n"/>
      <c r="AK37">
        <f>AK29+AJ34</f>
        <v/>
      </c>
      <c r="AL37" s="743" t="inlineStr">
        <is>
          <t>005 -IMPE0108 (5H)-1a ED</t>
        </is>
      </c>
    </row>
    <row r="38" ht="16.5" customHeight="1" s="757" thickTop="1">
      <c r="A38" s="17" t="inlineStr">
        <is>
          <t>GOOGLE TARDA</t>
        </is>
      </c>
      <c r="B38" s="18" t="n"/>
      <c r="C38" s="18" t="n"/>
      <c r="D38" s="18" t="n"/>
      <c r="E38" s="28" t="n"/>
      <c r="F38" s="275" t="n"/>
      <c r="G38" s="755" t="n"/>
      <c r="H38" s="39" t="n"/>
      <c r="I38" s="39" t="n"/>
      <c r="J38" s="287" t="n"/>
      <c r="K38" s="755" t="n"/>
      <c r="L38" s="755" t="n"/>
      <c r="M38" s="275" t="n"/>
      <c r="N38" s="287" t="n"/>
      <c r="O38" s="39" t="n"/>
      <c r="P38" s="39" t="n"/>
      <c r="Q38" s="755" t="n"/>
      <c r="R38" s="755" t="n"/>
      <c r="S38" s="755" t="n"/>
      <c r="T38" s="275" t="n"/>
      <c r="U38" s="755" t="n"/>
      <c r="V38" s="39" t="n"/>
      <c r="W38" s="39" t="n"/>
      <c r="X38" s="755" t="n"/>
      <c r="Y38" s="755" t="n"/>
      <c r="Z38" s="756" t="n"/>
      <c r="AA38" s="275" t="n"/>
      <c r="AB38" s="755" t="n"/>
      <c r="AC38" s="39" t="n"/>
      <c r="AD38" s="39" t="n"/>
      <c r="AE38" s="756" t="n"/>
      <c r="AF38" s="756" t="n"/>
      <c r="AG38" s="755" t="n"/>
      <c r="AH38" s="275" t="n"/>
      <c r="AI38" s="755" t="n"/>
      <c r="AJ38" s="4" t="n"/>
      <c r="AL38" s="662" t="inlineStr">
        <is>
          <t>COMPTABILITAT BÀSICA</t>
        </is>
      </c>
      <c r="AR38" s="287" t="n"/>
      <c r="AS38" s="775" t="inlineStr">
        <is>
          <t>5 VAM</t>
        </is>
      </c>
    </row>
    <row r="39" ht="15.75" customHeight="1" s="757">
      <c r="A39" s="10" t="inlineStr">
        <is>
          <t>FIREFOX TARDA</t>
        </is>
      </c>
      <c r="B39" s="11" t="n"/>
      <c r="C39" s="11" t="n"/>
      <c r="D39" s="12" t="n"/>
      <c r="E39" s="26" t="n"/>
      <c r="F39" s="756" t="n"/>
      <c r="G39" s="756" t="n"/>
      <c r="H39" s="24" t="n"/>
      <c r="I39" s="24" t="n"/>
      <c r="J39" s="33" t="inlineStr">
        <is>
          <t>2-CRR</t>
        </is>
      </c>
      <c r="K39" s="33" t="n"/>
      <c r="L39" s="274" t="n"/>
      <c r="M39" s="274" t="n"/>
      <c r="N39" s="33" t="n"/>
      <c r="O39" s="24" t="n"/>
      <c r="P39" s="24" t="n"/>
      <c r="Q39" s="756" t="n"/>
      <c r="R39" s="756" t="n"/>
      <c r="S39" s="756" t="n"/>
      <c r="T39" s="756" t="n"/>
      <c r="U39" s="756" t="n"/>
      <c r="V39" s="24" t="n"/>
      <c r="W39" s="24" t="n"/>
      <c r="X39" s="756" t="n"/>
      <c r="Y39" s="756" t="n"/>
      <c r="Z39" s="287" t="n"/>
      <c r="AA39" s="756" t="n"/>
      <c r="AB39" s="756" t="n"/>
      <c r="AC39" s="24" t="n"/>
      <c r="AD39" s="24" t="n"/>
      <c r="AE39" s="295" t="n"/>
      <c r="AF39" s="295" t="n"/>
      <c r="AG39" s="756" t="n"/>
      <c r="AH39" s="756" t="n"/>
      <c r="AI39" s="756" t="n"/>
      <c r="AJ39" s="4" t="n"/>
      <c r="AL39" s="536" t="inlineStr">
        <is>
          <t>2-OPERACIÓ CARRETONS</t>
        </is>
      </c>
      <c r="AM39" s="536" t="n"/>
      <c r="AN39" s="116" t="n"/>
      <c r="AO39" s="116" t="n"/>
      <c r="AP39" s="116" t="n"/>
      <c r="AR39" s="288" t="n"/>
      <c r="AS39" s="775" t="inlineStr">
        <is>
          <t>6 VAM</t>
        </is>
      </c>
      <c r="AV39" s="296" t="n"/>
      <c r="AW39" s="775" t="inlineStr">
        <is>
          <t>7 VAM</t>
        </is>
      </c>
    </row>
    <row r="40" ht="15.75" customHeight="1" s="757">
      <c r="A40" s="10" t="inlineStr">
        <is>
          <t>TARRAGONA mati</t>
        </is>
      </c>
      <c r="B40" s="11" t="n"/>
      <c r="C40" s="11" t="n"/>
      <c r="D40" s="12" t="n"/>
      <c r="E40" s="26" t="n"/>
      <c r="F40" s="756" t="n"/>
      <c r="G40" s="756" t="n"/>
      <c r="H40" s="24" t="n"/>
      <c r="I40" s="24" t="n"/>
      <c r="K40" s="756" t="n"/>
      <c r="L40" s="756" t="n"/>
      <c r="M40" s="756" t="n"/>
      <c r="N40" s="756" t="n"/>
      <c r="O40" s="24" t="n"/>
      <c r="P40" s="24" t="n"/>
      <c r="R40" s="756" t="n"/>
      <c r="S40" s="756" t="n"/>
      <c r="T40" s="756" t="n"/>
      <c r="U40" s="756" t="n"/>
      <c r="V40" s="24" t="n"/>
      <c r="W40" s="24" t="n"/>
      <c r="X40" s="289" t="inlineStr">
        <is>
          <t>RAF???</t>
        </is>
      </c>
      <c r="Y40" s="756" t="n"/>
      <c r="Z40" s="43" t="n"/>
      <c r="AA40" s="756" t="n"/>
      <c r="AB40" s="756" t="n"/>
      <c r="AC40" s="24" t="n"/>
      <c r="AD40" s="24" t="n"/>
      <c r="AE40" s="43" t="n"/>
      <c r="AF40" s="756" t="n"/>
      <c r="AG40" s="756" t="n"/>
      <c r="AH40" s="756" t="n"/>
      <c r="AI40" s="756" t="n"/>
      <c r="AJ40" s="4" t="n"/>
      <c r="AQ40" s="289" t="n"/>
      <c r="AR40" s="289" t="n"/>
      <c r="AT40" s="289" t="inlineStr">
        <is>
          <t>EAPC - BBDD</t>
        </is>
      </c>
      <c r="AU40" s="289" t="n"/>
    </row>
    <row r="41" ht="15.75" customHeight="1" s="757">
      <c r="A41" s="194" t="inlineStr">
        <is>
          <t>TARRAGONA tarda</t>
        </is>
      </c>
      <c r="B41" s="195" t="n"/>
      <c r="C41" s="195" t="n"/>
      <c r="D41" s="196" t="n"/>
      <c r="E41" s="26" t="n"/>
      <c r="F41" s="756" t="n"/>
      <c r="G41" s="756" t="n"/>
      <c r="H41" s="24" t="n"/>
      <c r="I41" s="24" t="n"/>
      <c r="J41" s="545" t="inlineStr">
        <is>
          <t>3-PERE</t>
        </is>
      </c>
      <c r="K41" s="33" t="n"/>
      <c r="L41" s="33" t="n"/>
      <c r="M41" s="33" t="n"/>
      <c r="N41" s="33" t="n"/>
      <c r="O41" s="24" t="n"/>
      <c r="P41" s="24" t="n"/>
      <c r="Q41" s="33" t="n"/>
      <c r="R41" s="33" t="n"/>
      <c r="S41" s="33" t="n"/>
      <c r="T41" s="33" t="n"/>
      <c r="U41" s="33" t="n"/>
      <c r="V41" s="24" t="n"/>
      <c r="W41" s="24" t="n"/>
      <c r="X41" s="756" t="n"/>
      <c r="Y41" s="756" t="n"/>
      <c r="Z41" s="756" t="n"/>
      <c r="AA41" s="756" t="n"/>
      <c r="AB41" s="756" t="n"/>
      <c r="AC41" s="24" t="n"/>
      <c r="AD41" s="24" t="n"/>
      <c r="AE41" s="756" t="n"/>
      <c r="AF41" s="756" t="n"/>
      <c r="AG41" s="756" t="n"/>
      <c r="AH41" s="756" t="n"/>
      <c r="AI41" s="756" t="n"/>
      <c r="AJ41" s="4" t="n"/>
      <c r="AL41" s="661" t="inlineStr">
        <is>
          <t>3-ACTIC- NIVELL INTERMEDI</t>
        </is>
      </c>
    </row>
    <row r="42" ht="19.5" customHeight="1" s="757" thickBot="1">
      <c r="A42" s="788" t="inlineStr">
        <is>
          <t>JUNY</t>
        </is>
      </c>
      <c r="B42" s="156" t="n"/>
      <c r="C42" s="156" t="n"/>
      <c r="D42" s="156" t="n"/>
      <c r="E42" s="156" t="n"/>
      <c r="F42" s="156" t="n"/>
      <c r="G42" s="156" t="n"/>
      <c r="H42" s="156" t="n"/>
      <c r="I42" s="156" t="n"/>
      <c r="J42" s="156" t="n"/>
      <c r="K42" s="156" t="n"/>
      <c r="L42" s="156" t="n"/>
      <c r="M42" s="156" t="n"/>
      <c r="N42" s="156" t="n"/>
      <c r="O42" s="156" t="n"/>
      <c r="P42" s="156" t="n"/>
      <c r="Q42" s="156" t="n"/>
      <c r="R42" s="156" t="n"/>
      <c r="S42" s="156" t="n"/>
      <c r="T42" s="156" t="n"/>
      <c r="U42" s="156" t="n"/>
      <c r="V42" s="156" t="n"/>
      <c r="W42" s="156" t="n"/>
      <c r="X42" s="156" t="n"/>
      <c r="Y42" s="156" t="n"/>
      <c r="Z42" s="156" t="n"/>
      <c r="AA42" s="156" t="n"/>
      <c r="AB42" s="156" t="n"/>
      <c r="AC42" s="156" t="n"/>
      <c r="AD42" s="156" t="n"/>
      <c r="AE42" s="156" t="n"/>
      <c r="AF42" s="156" t="n"/>
      <c r="AG42" s="156" t="n"/>
      <c r="AH42" s="156" t="n"/>
      <c r="AI42" s="142" t="n"/>
      <c r="AJ42" s="524" t="n">
        <v>19</v>
      </c>
      <c r="AK42">
        <f>AK34+AJ42</f>
        <v/>
      </c>
    </row>
    <row r="43" ht="66.75" customHeight="1" s="757">
      <c r="A43" s="7" t="inlineStr">
        <is>
          <t>AULA</t>
        </is>
      </c>
      <c r="B43" s="8" t="inlineStr">
        <is>
          <t>INICI</t>
        </is>
      </c>
      <c r="C43" s="8" t="inlineStr">
        <is>
          <t>FINAL</t>
        </is>
      </c>
      <c r="D43" s="8" t="inlineStr">
        <is>
          <t>AULA</t>
        </is>
      </c>
      <c r="E43" s="171" t="n">
        <v>45444</v>
      </c>
      <c r="F43" s="171" t="n">
        <v>45445</v>
      </c>
      <c r="G43" s="171" t="n">
        <v>45446</v>
      </c>
      <c r="H43" s="171" t="n">
        <v>45447</v>
      </c>
      <c r="I43" s="171" t="n">
        <v>45448</v>
      </c>
      <c r="J43" s="171" t="n">
        <v>45449</v>
      </c>
      <c r="K43" s="171" t="n">
        <v>45450</v>
      </c>
      <c r="L43" s="171" t="n">
        <v>45451</v>
      </c>
      <c r="M43" s="171" t="n">
        <v>45452</v>
      </c>
      <c r="N43" s="171" t="n">
        <v>45453</v>
      </c>
      <c r="O43" s="171" t="n">
        <v>45454</v>
      </c>
      <c r="P43" s="171" t="n">
        <v>45455</v>
      </c>
      <c r="Q43" s="171" t="n">
        <v>45456</v>
      </c>
      <c r="R43" s="171" t="n">
        <v>45457</v>
      </c>
      <c r="S43" s="171" t="n">
        <v>45458</v>
      </c>
      <c r="T43" s="171" t="n">
        <v>45459</v>
      </c>
      <c r="U43" s="171" t="n">
        <v>45460</v>
      </c>
      <c r="V43" s="171" t="n">
        <v>45461</v>
      </c>
      <c r="W43" s="171" t="n">
        <v>45462</v>
      </c>
      <c r="X43" s="171" t="n">
        <v>45463</v>
      </c>
      <c r="Y43" s="171" t="n">
        <v>45464</v>
      </c>
      <c r="Z43" s="171" t="n">
        <v>45465</v>
      </c>
      <c r="AA43" s="171" t="n">
        <v>45466</v>
      </c>
      <c r="AB43" s="171" t="n">
        <v>45467</v>
      </c>
      <c r="AC43" s="171" t="n">
        <v>45468</v>
      </c>
      <c r="AD43" s="171" t="n">
        <v>45469</v>
      </c>
      <c r="AE43" s="171" t="n">
        <v>45470</v>
      </c>
      <c r="AF43" s="171" t="n">
        <v>45471</v>
      </c>
      <c r="AG43" s="171" t="n">
        <v>45472</v>
      </c>
      <c r="AH43" s="171" t="n">
        <v>45473</v>
      </c>
      <c r="AI43" s="9" t="n"/>
      <c r="AJ43" s="4" t="n"/>
    </row>
    <row r="44" ht="15.75" customHeight="1" s="757">
      <c r="A44" s="10" t="inlineStr">
        <is>
          <t>GOOGLE MATINS</t>
        </is>
      </c>
      <c r="B44" s="11" t="n"/>
      <c r="C44" s="11" t="n"/>
      <c r="D44" s="12" t="n"/>
      <c r="E44" s="24" t="n"/>
      <c r="F44" s="24" t="n"/>
      <c r="G44" s="325" t="inlineStr">
        <is>
          <t>UF0350</t>
        </is>
      </c>
      <c r="H44" s="29" t="n"/>
      <c r="I44" s="29" t="n"/>
      <c r="J44" s="29" t="n"/>
      <c r="K44" s="29" t="n"/>
      <c r="L44" s="24" t="n"/>
      <c r="M44" s="24" t="n"/>
      <c r="N44" s="29" t="n"/>
      <c r="O44" s="29" t="n"/>
      <c r="P44" s="29" t="n"/>
      <c r="Q44" s="29" t="n"/>
      <c r="R44" s="29" t="n"/>
      <c r="S44" s="24" t="n"/>
      <c r="T44" s="24" t="n"/>
      <c r="U44" s="29" t="n"/>
      <c r="V44" s="29" t="n"/>
      <c r="W44" s="624" t="n"/>
      <c r="X44" s="326" t="inlineStr">
        <is>
          <t>UF0351</t>
        </is>
      </c>
      <c r="Y44" s="29" t="n"/>
      <c r="Z44" s="24" t="n"/>
      <c r="AA44" s="24" t="n"/>
      <c r="AB44" s="26" t="n"/>
      <c r="AC44" s="29" t="n"/>
      <c r="AD44" s="29" t="n"/>
      <c r="AE44" s="29" t="n"/>
      <c r="AF44" s="29" t="n"/>
      <c r="AG44" s="24" t="n"/>
      <c r="AH44" s="24" t="n"/>
      <c r="AI44" s="756" t="n"/>
      <c r="AJ44" s="4" t="n"/>
      <c r="AK44" s="228">
        <f>AK36+AJ42</f>
        <v/>
      </c>
      <c r="AL44" s="525" t="inlineStr">
        <is>
          <t>007- CEN 0208 (6H)</t>
        </is>
      </c>
      <c r="AM44" s="525" t="n"/>
      <c r="AN44" s="525" t="n"/>
      <c r="AO44" s="525" t="n"/>
    </row>
    <row r="45" ht="21.75" customHeight="1" s="757" thickBot="1">
      <c r="A45" s="14" t="inlineStr">
        <is>
          <t>FIREFOX MATINS</t>
        </is>
      </c>
      <c r="B45" s="15" t="n"/>
      <c r="C45" s="15" t="n"/>
      <c r="D45" s="15" t="n"/>
      <c r="E45" s="35" t="n"/>
      <c r="F45" s="35" t="n"/>
      <c r="G45" s="266" t="inlineStr">
        <is>
          <t>P</t>
        </is>
      </c>
      <c r="H45" s="336" t="inlineStr">
        <is>
          <t>UC0345_1</t>
        </is>
      </c>
      <c r="I45" s="337" t="inlineStr">
        <is>
          <t>MF0346_1</t>
        </is>
      </c>
      <c r="J45" s="234" t="n"/>
      <c r="K45" s="234" t="n"/>
      <c r="L45" s="126" t="n"/>
      <c r="M45" s="126" t="n"/>
      <c r="N45" s="234" t="n"/>
      <c r="O45" s="234" t="n"/>
      <c r="P45" s="234" t="n"/>
      <c r="Q45" s="234" t="n"/>
      <c r="R45" s="234" t="n"/>
      <c r="S45" s="126" t="n"/>
      <c r="T45" s="126" t="n"/>
      <c r="U45" s="240" t="n"/>
      <c r="V45" s="240" t="n"/>
      <c r="W45" s="240" t="n"/>
      <c r="X45" s="338" t="inlineStr">
        <is>
          <t>UC0346_1</t>
        </is>
      </c>
      <c r="Y45" s="305" t="n"/>
      <c r="Z45" s="126" t="n"/>
      <c r="AA45" s="126" t="n"/>
      <c r="AB45" s="127" t="n"/>
      <c r="AC45" s="241" t="n"/>
      <c r="AD45" s="257" t="n"/>
      <c r="AE45" s="257" t="n"/>
      <c r="AF45" s="257" t="n"/>
      <c r="AG45" s="126" t="n"/>
      <c r="AH45" s="126" t="n"/>
      <c r="AI45" s="130" t="n"/>
      <c r="AJ45" s="4" t="n"/>
      <c r="AK45" s="268">
        <f>AK37+14</f>
        <v/>
      </c>
      <c r="AL45" s="743" t="inlineStr">
        <is>
          <t>005 -IMPE0108 (5H)-1a ED</t>
        </is>
      </c>
      <c r="AQ45" s="742" t="inlineStr">
        <is>
          <t>017-FCO IMPE108</t>
        </is>
      </c>
      <c r="AT45" s="523" t="inlineStr">
        <is>
          <t>016- FCOI16ACTIC MIT - FOAP (5 H)</t>
        </is>
      </c>
      <c r="AU45" s="260" t="n"/>
      <c r="AV45" s="260" t="n"/>
      <c r="AW45" s="260" t="n"/>
      <c r="AX45" s="260" t="n"/>
    </row>
    <row r="46" ht="16.5" customHeight="1" s="757" thickTop="1">
      <c r="A46" s="17" t="inlineStr">
        <is>
          <t>GOOGLE TARDA</t>
        </is>
      </c>
      <c r="B46" s="18" t="n"/>
      <c r="C46" s="18" t="n"/>
      <c r="D46" s="18" t="n"/>
      <c r="E46" s="39" t="n"/>
      <c r="F46" s="39" t="n"/>
      <c r="G46" s="755" t="n"/>
      <c r="H46" s="755" t="n"/>
      <c r="I46" s="755" t="n"/>
      <c r="J46" s="275" t="n"/>
      <c r="K46" s="755" t="n"/>
      <c r="L46" s="39" t="n"/>
      <c r="M46" s="39" t="n"/>
      <c r="N46" s="755" t="n"/>
      <c r="O46" s="755" t="n"/>
      <c r="P46" s="755" t="n"/>
      <c r="Q46" s="275" t="n"/>
      <c r="R46" s="755" t="n"/>
      <c r="S46" s="39" t="n"/>
      <c r="T46" s="39" t="n"/>
      <c r="U46" s="755" t="n"/>
      <c r="V46" s="755" t="n"/>
      <c r="W46" s="755" t="n"/>
      <c r="X46" s="275" t="n"/>
      <c r="Y46" s="755" t="n"/>
      <c r="Z46" s="39" t="n"/>
      <c r="AA46" s="39" t="n"/>
      <c r="AB46" s="28" t="n"/>
      <c r="AC46" s="755" t="n"/>
      <c r="AD46" s="755" t="n"/>
      <c r="AE46" s="275" t="n"/>
      <c r="AF46" s="755" t="n"/>
      <c r="AG46" s="39" t="n"/>
      <c r="AH46" s="39" t="n"/>
      <c r="AI46" s="755" t="n"/>
      <c r="AJ46" s="4" t="n"/>
      <c r="AL46" s="662" t="inlineStr">
        <is>
          <t>COMPTABILITAT BÀSICA</t>
        </is>
      </c>
    </row>
    <row r="47" ht="18.75" customHeight="1" s="757">
      <c r="A47" s="10" t="inlineStr">
        <is>
          <t>FIREFOX TARDA</t>
        </is>
      </c>
      <c r="B47" s="11" t="n"/>
      <c r="C47" s="11" t="n"/>
      <c r="D47" s="12" t="n"/>
      <c r="E47" s="24" t="n"/>
      <c r="F47" s="24" t="n"/>
      <c r="G47" s="33" t="inlineStr">
        <is>
          <t>3-CRR</t>
        </is>
      </c>
      <c r="H47" s="33" t="n"/>
      <c r="I47" s="274" t="n"/>
      <c r="J47" s="274" t="n"/>
      <c r="K47" s="33" t="n"/>
      <c r="L47" s="24" t="n"/>
      <c r="M47" s="24" t="n"/>
      <c r="N47" s="756" t="n"/>
      <c r="O47" s="756" t="n"/>
      <c r="P47" s="756" t="n"/>
      <c r="Q47" s="756" t="n"/>
      <c r="R47" s="756" t="n"/>
      <c r="S47" s="24" t="n"/>
      <c r="T47" s="24" t="n"/>
      <c r="U47" s="756" t="n"/>
      <c r="V47" s="756" t="n"/>
      <c r="W47" s="756" t="n"/>
      <c r="X47" s="756" t="n"/>
      <c r="Y47" s="756" t="n"/>
      <c r="Z47" s="24" t="n"/>
      <c r="AA47" s="24" t="n"/>
      <c r="AB47" s="26" t="n"/>
      <c r="AC47" s="756" t="n"/>
      <c r="AD47" s="756" t="n"/>
      <c r="AE47" s="756" t="n"/>
      <c r="AF47" s="756" t="n"/>
      <c r="AG47" s="24" t="n"/>
      <c r="AH47" s="24" t="n"/>
      <c r="AI47" s="756" t="n"/>
      <c r="AJ47" s="4" t="n"/>
      <c r="AK47" s="233" t="n"/>
      <c r="AL47" s="536" t="inlineStr">
        <is>
          <t>3-OPERACIÓ CARRETONS</t>
        </is>
      </c>
      <c r="AM47" s="536" t="n"/>
      <c r="AN47" s="116" t="n"/>
      <c r="AO47" s="116" t="n"/>
      <c r="AP47" s="116" t="n"/>
      <c r="AQ47" s="774" t="n"/>
      <c r="AR47" s="774" t="n"/>
    </row>
    <row r="48" ht="15.75" customHeight="1" s="757">
      <c r="A48" s="10" t="inlineStr">
        <is>
          <t>TARRAGONA mati</t>
        </is>
      </c>
      <c r="B48" s="11" t="n"/>
      <c r="C48" s="11" t="n"/>
      <c r="D48" s="12" t="n"/>
      <c r="E48" s="24" t="n"/>
      <c r="F48" s="24" t="n"/>
      <c r="G48" s="43" t="n"/>
      <c r="H48" s="756" t="n"/>
      <c r="I48" s="43" t="n"/>
      <c r="J48" s="756" t="n"/>
      <c r="K48" s="756" t="n"/>
      <c r="L48" s="24" t="n"/>
      <c r="M48" s="24" t="n"/>
      <c r="N48" s="43" t="n"/>
      <c r="O48" s="756" t="n"/>
      <c r="P48" s="43" t="n"/>
      <c r="Q48" s="756" t="n"/>
      <c r="R48" s="756" t="n"/>
      <c r="S48" s="24" t="n"/>
      <c r="T48" s="24" t="n"/>
      <c r="U48" s="43" t="n"/>
      <c r="V48" s="756" t="n"/>
      <c r="W48" s="756" t="n"/>
      <c r="X48" s="756" t="n"/>
      <c r="Y48" s="756" t="n"/>
      <c r="Z48" s="24" t="n"/>
      <c r="AA48" s="24" t="n"/>
      <c r="AB48" s="26" t="n"/>
      <c r="AC48" s="756" t="n"/>
      <c r="AD48" s="756" t="n"/>
      <c r="AE48" s="756" t="n"/>
      <c r="AF48" s="756" t="n"/>
      <c r="AG48" s="24" t="n"/>
      <c r="AH48" s="24" t="n"/>
      <c r="AI48" s="756" t="n"/>
      <c r="AJ48" s="4" t="n"/>
      <c r="AL48" s="289" t="inlineStr">
        <is>
          <t>EAPC - ACTIC AVANÇAT</t>
        </is>
      </c>
      <c r="AM48" s="289" t="n"/>
      <c r="AN48" s="289" t="n"/>
    </row>
    <row r="49" ht="15.75" customHeight="1" s="757">
      <c r="A49" s="10" t="inlineStr">
        <is>
          <t>TARRAGONA tarda</t>
        </is>
      </c>
      <c r="B49" s="11" t="n"/>
      <c r="C49" s="11" t="n"/>
      <c r="D49" s="12" t="n"/>
      <c r="E49" s="24" t="n"/>
      <c r="F49" s="24" t="n"/>
      <c r="G49" s="756" t="n"/>
      <c r="H49" s="756" t="n"/>
      <c r="I49" s="756" t="n"/>
      <c r="J49" s="756" t="n"/>
      <c r="K49" s="756" t="n"/>
      <c r="L49" s="24" t="n"/>
      <c r="M49" s="24" t="n"/>
      <c r="N49" s="756" t="n"/>
      <c r="O49" s="756" t="n"/>
      <c r="P49" s="756" t="n"/>
      <c r="Q49" s="756" t="n"/>
      <c r="R49" s="756" t="n"/>
      <c r="S49" s="24" t="n"/>
      <c r="T49" s="24" t="n"/>
      <c r="U49" s="756" t="n"/>
      <c r="V49" s="756" t="n"/>
      <c r="W49" s="756" t="n"/>
      <c r="X49" s="756" t="n"/>
      <c r="Y49" s="756" t="n"/>
      <c r="Z49" s="24" t="n"/>
      <c r="AA49" s="24" t="n"/>
      <c r="AB49" s="26" t="n"/>
      <c r="AC49" s="756" t="n"/>
      <c r="AD49" s="756" t="n"/>
      <c r="AE49" s="756" t="n"/>
      <c r="AF49" s="756" t="n"/>
      <c r="AG49" s="24" t="n"/>
      <c r="AH49" s="24" t="n"/>
      <c r="AI49" s="756" t="n"/>
      <c r="AJ49" s="4" t="n"/>
    </row>
    <row r="50" ht="18.75" customHeight="1" s="757">
      <c r="A50" s="788" t="inlineStr">
        <is>
          <t>JULIOL</t>
        </is>
      </c>
      <c r="B50" s="156" t="n"/>
      <c r="C50" s="156" t="n"/>
      <c r="D50" s="156" t="n"/>
      <c r="E50" s="156" t="n"/>
      <c r="F50" s="156" t="n"/>
      <c r="G50" s="156" t="n"/>
      <c r="H50" s="156" t="n"/>
      <c r="I50" s="156" t="n"/>
      <c r="J50" s="156" t="n"/>
      <c r="K50" s="156" t="n"/>
      <c r="L50" s="156" t="n"/>
      <c r="M50" s="156" t="n"/>
      <c r="N50" s="156" t="n"/>
      <c r="O50" s="156" t="n"/>
      <c r="P50" s="156" t="n"/>
      <c r="Q50" s="156" t="n"/>
      <c r="R50" s="156" t="n"/>
      <c r="S50" s="156" t="n"/>
      <c r="T50" s="156" t="n"/>
      <c r="U50" s="156" t="n"/>
      <c r="V50" s="156" t="n"/>
      <c r="W50" s="156" t="n"/>
      <c r="X50" s="156" t="n"/>
      <c r="Y50" s="156" t="n"/>
      <c r="Z50" s="156" t="n"/>
      <c r="AA50" s="156" t="n"/>
      <c r="AB50" s="156" t="n"/>
      <c r="AC50" s="156" t="n"/>
      <c r="AD50" s="156" t="n"/>
      <c r="AE50" s="156" t="n"/>
      <c r="AF50" s="156" t="n"/>
      <c r="AG50" s="156" t="n"/>
      <c r="AH50" s="156" t="n"/>
      <c r="AI50" s="142" t="n"/>
      <c r="AJ50" s="524" t="n">
        <v>22</v>
      </c>
      <c r="AK50">
        <f>AK42+AJ50</f>
        <v/>
      </c>
      <c r="AN50" s="572" t="n"/>
      <c r="AO50" s="572" t="n"/>
      <c r="AP50" s="774" t="n"/>
      <c r="AQ50" s="774" t="n"/>
      <c r="AR50" s="774" t="n"/>
    </row>
    <row r="51" ht="65.25" customHeight="1" s="757">
      <c r="A51" s="7" t="inlineStr">
        <is>
          <t>AULA</t>
        </is>
      </c>
      <c r="B51" s="8" t="inlineStr">
        <is>
          <t>INICI</t>
        </is>
      </c>
      <c r="C51" s="8" t="inlineStr">
        <is>
          <t>FINAL</t>
        </is>
      </c>
      <c r="D51" s="8" t="inlineStr">
        <is>
          <t>AULA</t>
        </is>
      </c>
      <c r="E51" s="171" t="n">
        <v>45474</v>
      </c>
      <c r="F51" s="171" t="n">
        <v>45475</v>
      </c>
      <c r="G51" s="171" t="n">
        <v>45476</v>
      </c>
      <c r="H51" s="171" t="n">
        <v>45477</v>
      </c>
      <c r="I51" s="171" t="n">
        <v>45478</v>
      </c>
      <c r="J51" s="171" t="n">
        <v>45479</v>
      </c>
      <c r="K51" s="171" t="n">
        <v>45480</v>
      </c>
      <c r="L51" s="171" t="n">
        <v>45481</v>
      </c>
      <c r="M51" s="171" t="n">
        <v>45482</v>
      </c>
      <c r="N51" s="171" t="n">
        <v>45483</v>
      </c>
      <c r="O51" s="171" t="n">
        <v>45484</v>
      </c>
      <c r="P51" s="171" t="n">
        <v>45485</v>
      </c>
      <c r="Q51" s="171" t="n">
        <v>45486</v>
      </c>
      <c r="R51" s="171" t="n">
        <v>45487</v>
      </c>
      <c r="S51" s="171" t="n">
        <v>45488</v>
      </c>
      <c r="T51" s="171" t="n">
        <v>45489</v>
      </c>
      <c r="U51" s="171" t="n">
        <v>45490</v>
      </c>
      <c r="V51" s="171" t="n">
        <v>45491</v>
      </c>
      <c r="W51" s="171" t="n">
        <v>45492</v>
      </c>
      <c r="X51" s="171" t="n">
        <v>45493</v>
      </c>
      <c r="Y51" s="171" t="n">
        <v>45494</v>
      </c>
      <c r="Z51" s="171" t="n">
        <v>45495</v>
      </c>
      <c r="AA51" s="171" t="n">
        <v>45496</v>
      </c>
      <c r="AB51" s="171" t="n">
        <v>45497</v>
      </c>
      <c r="AC51" s="171" t="n">
        <v>45498</v>
      </c>
      <c r="AD51" s="171" t="n">
        <v>45499</v>
      </c>
      <c r="AE51" s="171" t="n">
        <v>45500</v>
      </c>
      <c r="AF51" s="171" t="n">
        <v>45501</v>
      </c>
      <c r="AG51" s="171" t="n">
        <v>45502</v>
      </c>
      <c r="AH51" s="171" t="n">
        <v>45503</v>
      </c>
      <c r="AI51" s="171" t="n">
        <v>45504</v>
      </c>
      <c r="AJ51" s="4" t="n"/>
    </row>
    <row r="52" ht="15.75" customHeight="1" s="757">
      <c r="A52" s="10" t="inlineStr">
        <is>
          <t>GOOGLE MATINS</t>
        </is>
      </c>
      <c r="B52" s="11" t="n"/>
      <c r="C52" s="11" t="n"/>
      <c r="D52" s="12" t="n"/>
      <c r="E52" s="323" t="n"/>
      <c r="F52" s="327" t="inlineStr">
        <is>
          <t>MF0973_2 INMA</t>
        </is>
      </c>
      <c r="G52" s="29" t="n"/>
      <c r="H52" s="29" t="n"/>
      <c r="I52" s="29" t="n"/>
      <c r="J52" s="24" t="n"/>
      <c r="K52" s="24" t="n"/>
      <c r="L52" s="29" t="n"/>
      <c r="M52" s="29" t="n"/>
      <c r="N52" s="29" t="n"/>
      <c r="O52" s="29" t="n"/>
      <c r="P52" s="29" t="n"/>
      <c r="Q52" s="24" t="n"/>
      <c r="R52" s="24" t="n"/>
      <c r="S52" s="30" t="n"/>
      <c r="T52" s="29" t="n"/>
      <c r="U52" s="29" t="n"/>
      <c r="V52" s="29" t="n"/>
      <c r="W52" s="29" t="n"/>
      <c r="X52" s="24" t="n"/>
      <c r="Y52" s="24" t="n"/>
      <c r="Z52" s="29" t="n"/>
      <c r="AA52" s="323" t="n"/>
      <c r="AB52" s="327" t="inlineStr">
        <is>
          <t>MF0978_2 INMA</t>
        </is>
      </c>
      <c r="AC52" s="29" t="n"/>
      <c r="AD52" s="29" t="n"/>
      <c r="AE52" s="24" t="n"/>
      <c r="AF52" s="24" t="n"/>
      <c r="AG52" s="29" t="n"/>
      <c r="AH52" s="29" t="n"/>
      <c r="AI52" s="29" t="n"/>
      <c r="AJ52" s="4" t="n"/>
      <c r="AK52" s="228">
        <f>AK44+AJ50</f>
        <v/>
      </c>
      <c r="AL52" s="525" t="inlineStr">
        <is>
          <t>007- CEN 0208 (6H)</t>
        </is>
      </c>
      <c r="AM52" s="525" t="n"/>
      <c r="AN52" s="525" t="n"/>
      <c r="AO52" s="525" t="n"/>
    </row>
    <row r="53" ht="16.5" customHeight="1" s="757" thickBot="1">
      <c r="A53" s="14" t="inlineStr">
        <is>
          <t>FIREFOX MATINS</t>
        </is>
      </c>
      <c r="B53" s="15" t="n"/>
      <c r="C53" s="15" t="n"/>
      <c r="D53" s="15" t="n"/>
      <c r="E53" s="199" t="n"/>
      <c r="F53" s="199" t="n"/>
      <c r="G53" s="199" t="n"/>
      <c r="H53" s="199" t="n"/>
      <c r="I53" s="199" t="n"/>
      <c r="J53" s="35" t="n"/>
      <c r="K53" s="35" t="n"/>
      <c r="L53" s="778" t="n"/>
      <c r="M53" s="778" t="n"/>
      <c r="N53" s="778" t="n"/>
      <c r="O53" s="778" t="n"/>
      <c r="P53" s="778" t="n"/>
      <c r="Q53" s="35" t="n"/>
      <c r="R53" s="35" t="n"/>
      <c r="S53" s="222" t="n"/>
      <c r="T53" s="778" t="n"/>
      <c r="U53" s="778" t="n"/>
      <c r="V53" s="778" t="n"/>
      <c r="W53" s="778" t="n"/>
      <c r="X53" s="35" t="n"/>
      <c r="Y53" s="35" t="n"/>
      <c r="Z53" s="778" t="n"/>
      <c r="AA53" s="778" t="n"/>
      <c r="AB53" s="778" t="n"/>
      <c r="AC53" s="778" t="n"/>
      <c r="AD53" s="778" t="n"/>
      <c r="AE53" s="35" t="n"/>
      <c r="AF53" s="35" t="n"/>
      <c r="AG53" s="778" t="n"/>
      <c r="AH53" s="778" t="n"/>
      <c r="AI53" s="778" t="n"/>
      <c r="AJ53" s="4" t="n"/>
      <c r="AL53" s="671" t="n"/>
    </row>
    <row r="54" ht="16.5" customHeight="1" s="757" thickTop="1">
      <c r="A54" s="17" t="inlineStr">
        <is>
          <t>GOOGLE TARDA</t>
        </is>
      </c>
      <c r="B54" s="18" t="n"/>
      <c r="C54" s="18" t="n"/>
      <c r="D54" s="18" t="n"/>
      <c r="E54" s="755" t="n"/>
      <c r="F54" s="755" t="n"/>
      <c r="G54" s="755" t="n"/>
      <c r="H54" s="275" t="n"/>
      <c r="I54" s="755" t="n"/>
      <c r="J54" s="39" t="n"/>
      <c r="K54" s="39" t="n"/>
      <c r="L54" s="755" t="n"/>
      <c r="M54" s="755" t="n"/>
      <c r="N54" s="755" t="n"/>
      <c r="O54" s="275" t="n"/>
      <c r="P54" s="755" t="n"/>
      <c r="Q54" s="39" t="n"/>
      <c r="R54" s="39" t="n"/>
      <c r="S54" s="223" t="n"/>
      <c r="T54" s="755" t="n"/>
      <c r="U54" s="755" t="n"/>
      <c r="V54" s="755" t="n"/>
      <c r="W54" s="755" t="n"/>
      <c r="X54" s="39" t="n"/>
      <c r="Y54" s="39" t="n"/>
      <c r="Z54" s="755" t="n"/>
      <c r="AA54" s="755" t="n"/>
      <c r="AB54" s="755" t="n"/>
      <c r="AC54" s="755" t="n"/>
      <c r="AD54" s="755" t="n"/>
      <c r="AE54" s="39" t="n"/>
      <c r="AF54" s="39" t="n"/>
      <c r="AG54" s="755" t="n"/>
      <c r="AH54" s="755" t="n"/>
      <c r="AI54" s="755" t="n"/>
      <c r="AJ54" s="4" t="n"/>
      <c r="AL54" s="662" t="inlineStr">
        <is>
          <t>COMPTABILITAT BÀSICA</t>
        </is>
      </c>
    </row>
    <row r="55" ht="15.75" customHeight="1" s="757">
      <c r="A55" s="10" t="inlineStr">
        <is>
          <t>FIREFOX TARDA</t>
        </is>
      </c>
      <c r="B55" s="11" t="n"/>
      <c r="C55" s="11" t="n"/>
      <c r="D55" s="12" t="n"/>
      <c r="E55" s="756" t="n"/>
      <c r="F55" s="756" t="n"/>
      <c r="G55" s="756" t="n"/>
      <c r="H55" s="756" t="n"/>
      <c r="I55" s="756" t="n"/>
      <c r="J55" s="24" t="n"/>
      <c r="K55" s="24" t="n"/>
      <c r="L55" s="756" t="n"/>
      <c r="M55" s="756" t="n"/>
      <c r="N55" s="756" t="n"/>
      <c r="O55" s="756" t="n"/>
      <c r="P55" s="756" t="n"/>
      <c r="Q55" s="24" t="n"/>
      <c r="R55" s="24" t="n"/>
      <c r="S55" s="30" t="n"/>
      <c r="T55" s="756" t="n"/>
      <c r="U55" s="756" t="n"/>
      <c r="V55" s="756" t="n"/>
      <c r="W55" s="756" t="n"/>
      <c r="X55" s="24" t="n"/>
      <c r="Y55" s="24" t="n"/>
      <c r="Z55" s="756" t="n"/>
      <c r="AA55" s="756" t="n"/>
      <c r="AB55" s="756" t="n"/>
      <c r="AC55" s="756" t="n"/>
      <c r="AD55" s="756" t="n"/>
      <c r="AE55" s="24" t="n"/>
      <c r="AF55" s="24" t="n"/>
      <c r="AG55" s="756" t="n"/>
      <c r="AH55" s="756" t="n"/>
      <c r="AI55" s="756" t="n"/>
      <c r="AJ55" s="4" t="n"/>
    </row>
    <row r="56" ht="15.75" customHeight="1" s="757">
      <c r="A56" s="10" t="inlineStr">
        <is>
          <t>TARRAGONA mati</t>
        </is>
      </c>
      <c r="B56" s="11" t="n"/>
      <c r="C56" s="11" t="n"/>
      <c r="D56" s="12" t="n"/>
      <c r="E56" s="756" t="n"/>
      <c r="F56" s="756" t="n"/>
      <c r="G56" s="756" t="n"/>
      <c r="H56" s="756" t="n"/>
      <c r="I56" s="756" t="n"/>
      <c r="J56" s="24" t="n"/>
      <c r="K56" s="24" t="n"/>
      <c r="L56" s="756" t="n"/>
      <c r="M56" s="756" t="n"/>
      <c r="N56" s="756" t="n"/>
      <c r="O56" s="756" t="n"/>
      <c r="P56" s="756" t="n"/>
      <c r="Q56" s="24" t="n"/>
      <c r="R56" s="24" t="n"/>
      <c r="S56" s="30" t="n"/>
      <c r="T56" s="756" t="n"/>
      <c r="U56" s="756" t="n"/>
      <c r="V56" s="756" t="n"/>
      <c r="W56" s="756" t="n"/>
      <c r="X56" s="24" t="n"/>
      <c r="Y56" s="24" t="n"/>
      <c r="Z56" s="756" t="n"/>
      <c r="AA56" s="756" t="n"/>
      <c r="AB56" s="756" t="n"/>
      <c r="AC56" s="756" t="n"/>
      <c r="AD56" s="756" t="n"/>
      <c r="AE56" s="24" t="n"/>
      <c r="AF56" s="24" t="n"/>
      <c r="AG56" s="756" t="n"/>
      <c r="AH56" s="756" t="n"/>
      <c r="AI56" s="756" t="n"/>
      <c r="AJ56" s="4" t="n"/>
    </row>
    <row r="57" ht="15.75" customHeight="1" s="757">
      <c r="A57" s="10" t="inlineStr">
        <is>
          <t>TARRAGONA tarda</t>
        </is>
      </c>
      <c r="B57" s="11" t="n"/>
      <c r="C57" s="11" t="n"/>
      <c r="D57" s="12" t="n"/>
      <c r="E57" s="756" t="n"/>
      <c r="F57" s="756" t="n"/>
      <c r="G57" s="756" t="n"/>
      <c r="H57" s="756" t="n"/>
      <c r="I57" s="756" t="n"/>
      <c r="J57" s="24" t="n"/>
      <c r="K57" s="24" t="n"/>
      <c r="L57" s="756" t="n"/>
      <c r="M57" s="756" t="n"/>
      <c r="N57" s="756" t="n"/>
      <c r="O57" s="756" t="n"/>
      <c r="P57" s="756" t="n"/>
      <c r="Q57" s="24" t="n"/>
      <c r="R57" s="24" t="n"/>
      <c r="S57" s="30" t="n"/>
      <c r="T57" s="756" t="n"/>
      <c r="U57" s="756" t="n"/>
      <c r="V57" s="756" t="n"/>
      <c r="W57" s="756" t="n"/>
      <c r="X57" s="24" t="n"/>
      <c r="Y57" s="24" t="n"/>
      <c r="Z57" s="756" t="n"/>
      <c r="AA57" s="756" t="n"/>
      <c r="AB57" s="756" t="n"/>
      <c r="AC57" s="756" t="n"/>
      <c r="AD57" s="756" t="n"/>
      <c r="AE57" s="24" t="n"/>
      <c r="AF57" s="24" t="n"/>
      <c r="AG57" s="756" t="n"/>
      <c r="AH57" s="756" t="n"/>
      <c r="AI57" s="756" t="n"/>
      <c r="AJ57" s="4" t="n"/>
    </row>
    <row r="58" ht="19.5" customHeight="1" s="757" thickBot="1">
      <c r="A58" s="788" t="inlineStr">
        <is>
          <t>AGOST</t>
        </is>
      </c>
      <c r="B58" s="156" t="n"/>
      <c r="C58" s="156" t="n"/>
      <c r="D58" s="156" t="n"/>
      <c r="E58" s="156" t="n"/>
      <c r="F58" s="156" t="n"/>
      <c r="G58" s="156" t="n"/>
      <c r="H58" s="156" t="n"/>
      <c r="I58" s="156" t="n"/>
      <c r="J58" s="156" t="n"/>
      <c r="K58" s="156" t="n"/>
      <c r="L58" s="156" t="n"/>
      <c r="M58" s="156" t="n"/>
      <c r="N58" s="156" t="n"/>
      <c r="O58" s="156" t="n"/>
      <c r="P58" s="156" t="n"/>
      <c r="Q58" s="156" t="n"/>
      <c r="R58" s="156" t="n"/>
      <c r="S58" s="156" t="n"/>
      <c r="T58" s="156" t="n"/>
      <c r="U58" s="156" t="n"/>
      <c r="V58" s="156" t="n"/>
      <c r="W58" s="156" t="n"/>
      <c r="X58" s="156" t="n"/>
      <c r="Y58" s="156" t="n"/>
      <c r="Z58" s="156" t="n"/>
      <c r="AA58" s="156" t="n"/>
      <c r="AB58" s="156" t="n"/>
      <c r="AC58" s="156" t="n"/>
      <c r="AD58" s="156" t="n"/>
      <c r="AE58" s="156" t="n"/>
      <c r="AF58" s="156" t="n"/>
      <c r="AG58" s="156" t="n"/>
      <c r="AH58" s="156" t="n"/>
      <c r="AI58" s="142" t="n"/>
      <c r="AJ58" s="524" t="n">
        <v>7</v>
      </c>
      <c r="AK58">
        <f>AK50+AJ58</f>
        <v/>
      </c>
    </row>
    <row r="59" ht="64.5" customHeight="1" s="757">
      <c r="A59" s="7" t="inlineStr">
        <is>
          <t>AULA</t>
        </is>
      </c>
      <c r="B59" s="8" t="inlineStr">
        <is>
          <t>INICI</t>
        </is>
      </c>
      <c r="C59" s="8" t="inlineStr">
        <is>
          <t>FINAL</t>
        </is>
      </c>
      <c r="D59" s="8" t="inlineStr">
        <is>
          <t>AULA</t>
        </is>
      </c>
      <c r="E59" s="9" t="n">
        <v>45505</v>
      </c>
      <c r="F59" s="9" t="n">
        <v>45506</v>
      </c>
      <c r="G59" s="9" t="n">
        <v>45507</v>
      </c>
      <c r="H59" s="9" t="n">
        <v>45508</v>
      </c>
      <c r="I59" s="9" t="n">
        <v>45509</v>
      </c>
      <c r="J59" s="9" t="n">
        <v>45510</v>
      </c>
      <c r="K59" s="9" t="n">
        <v>45511</v>
      </c>
      <c r="L59" s="9" t="n">
        <v>45512</v>
      </c>
      <c r="M59" s="9" t="n">
        <v>45513</v>
      </c>
      <c r="N59" s="9" t="n">
        <v>45514</v>
      </c>
      <c r="O59" s="9" t="n">
        <v>45515</v>
      </c>
      <c r="P59" s="9" t="n">
        <v>45516</v>
      </c>
      <c r="Q59" s="9" t="n">
        <v>45517</v>
      </c>
      <c r="R59" s="9" t="n">
        <v>45518</v>
      </c>
      <c r="S59" s="9" t="n">
        <v>45519</v>
      </c>
      <c r="T59" s="9" t="n">
        <v>45520</v>
      </c>
      <c r="U59" s="9" t="n">
        <v>45521</v>
      </c>
      <c r="V59" s="9" t="n">
        <v>45522</v>
      </c>
      <c r="W59" s="9" t="n">
        <v>45523</v>
      </c>
      <c r="X59" s="9" t="n">
        <v>45524</v>
      </c>
      <c r="Y59" s="9" t="n">
        <v>45525</v>
      </c>
      <c r="Z59" s="9" t="n">
        <v>45526</v>
      </c>
      <c r="AA59" s="9" t="n">
        <v>45527</v>
      </c>
      <c r="AB59" s="9" t="n">
        <v>45528</v>
      </c>
      <c r="AC59" s="9" t="n">
        <v>45529</v>
      </c>
      <c r="AD59" s="9" t="n">
        <v>45530</v>
      </c>
      <c r="AE59" s="9" t="n">
        <v>45531</v>
      </c>
      <c r="AF59" s="9" t="n">
        <v>45532</v>
      </c>
      <c r="AG59" s="9" t="n">
        <v>45533</v>
      </c>
      <c r="AH59" s="9" t="n">
        <v>45534</v>
      </c>
      <c r="AI59" s="9" t="n">
        <v>45535</v>
      </c>
      <c r="AJ59" s="4" t="n"/>
    </row>
    <row r="60" ht="15.75" customHeight="1" s="757">
      <c r="A60" s="10" t="inlineStr">
        <is>
          <t>GOOGLE MATINS</t>
        </is>
      </c>
      <c r="B60" s="11" t="n"/>
      <c r="C60" s="11" t="n"/>
      <c r="D60" s="12" t="n"/>
      <c r="E60" s="29" t="n"/>
      <c r="F60" s="29" t="n"/>
      <c r="G60" s="24" t="n"/>
      <c r="H60" s="24" t="n"/>
      <c r="I60" s="69" t="n"/>
      <c r="J60" s="69" t="n"/>
      <c r="K60" s="69" t="n"/>
      <c r="L60" s="69" t="n"/>
      <c r="M60" s="69" t="n"/>
      <c r="N60" s="24" t="n"/>
      <c r="O60" s="24" t="n"/>
      <c r="P60" s="69" t="n"/>
      <c r="Q60" s="69" t="n"/>
      <c r="R60" s="69" t="n"/>
      <c r="S60" s="69" t="n"/>
      <c r="T60" s="69" t="n"/>
      <c r="U60" s="24" t="n"/>
      <c r="V60" s="24" t="n"/>
      <c r="W60" s="69" t="n"/>
      <c r="X60" s="69" t="n"/>
      <c r="Y60" s="69" t="n"/>
      <c r="Z60" s="69" t="n"/>
      <c r="AA60" s="69" t="n"/>
      <c r="AB60" s="24" t="n"/>
      <c r="AC60" s="24" t="n"/>
      <c r="AD60" s="29" t="n"/>
      <c r="AE60" s="323" t="n"/>
      <c r="AF60" s="327" t="inlineStr">
        <is>
          <t>MF0977_2 JOANA</t>
        </is>
      </c>
      <c r="AG60" s="29" t="n"/>
      <c r="AH60" s="29" t="n"/>
      <c r="AI60" s="24" t="n"/>
      <c r="AJ60" s="4" t="n"/>
      <c r="AK60" s="228">
        <f>AK52+AJ58</f>
        <v/>
      </c>
      <c r="AL60" s="525" t="inlineStr">
        <is>
          <t>007- CEN 0208 (6H)</t>
        </is>
      </c>
      <c r="AM60" s="525" t="n"/>
      <c r="AN60" s="525" t="n"/>
      <c r="AO60" s="525" t="n"/>
    </row>
    <row r="61" ht="16.5" customHeight="1" s="757" thickBot="1">
      <c r="A61" s="14" t="inlineStr">
        <is>
          <t>FIREFOX MATINS</t>
        </is>
      </c>
      <c r="B61" s="15" t="n"/>
      <c r="C61" s="15" t="n"/>
      <c r="D61" s="15" t="n"/>
      <c r="E61" s="778" t="n"/>
      <c r="F61" s="778" t="n"/>
      <c r="G61" s="35" t="n"/>
      <c r="H61" s="35" t="n"/>
      <c r="I61" s="224" t="n"/>
      <c r="J61" s="224" t="n"/>
      <c r="K61" s="224" t="n"/>
      <c r="L61" s="224" t="n"/>
      <c r="M61" s="224" t="n"/>
      <c r="N61" s="35" t="n"/>
      <c r="O61" s="35" t="n"/>
      <c r="P61" s="224" t="n"/>
      <c r="Q61" s="224" t="n"/>
      <c r="R61" s="224" t="n"/>
      <c r="S61" s="224" t="n"/>
      <c r="T61" s="224" t="n"/>
      <c r="U61" s="35" t="n"/>
      <c r="V61" s="35" t="n"/>
      <c r="W61" s="224" t="n"/>
      <c r="X61" s="224" t="n"/>
      <c r="Y61" s="224" t="n"/>
      <c r="Z61" s="224" t="n"/>
      <c r="AA61" s="224" t="n"/>
      <c r="AB61" s="35" t="n"/>
      <c r="AC61" s="35" t="n"/>
      <c r="AD61" s="778" t="n"/>
      <c r="AE61" s="778" t="n"/>
      <c r="AF61" s="778" t="n"/>
      <c r="AG61" s="778" t="n"/>
      <c r="AH61" s="778" t="n"/>
      <c r="AI61" s="35" t="n"/>
      <c r="AJ61" s="4" t="n"/>
    </row>
    <row r="62" ht="16.5" customHeight="1" s="757" thickTop="1">
      <c r="A62" s="17" t="inlineStr">
        <is>
          <t>GOOGLE TARDA</t>
        </is>
      </c>
      <c r="B62" s="18" t="n"/>
      <c r="C62" s="18" t="n"/>
      <c r="D62" s="18" t="n"/>
      <c r="E62" s="755" t="n"/>
      <c r="F62" s="755" t="n"/>
      <c r="G62" s="39" t="n"/>
      <c r="H62" s="39" t="n"/>
      <c r="I62" s="135" t="n"/>
      <c r="J62" s="135" t="n"/>
      <c r="K62" s="135" t="n"/>
      <c r="L62" s="135" t="n"/>
      <c r="M62" s="135" t="n"/>
      <c r="N62" s="39" t="n"/>
      <c r="O62" s="39" t="n"/>
      <c r="P62" s="135" t="n"/>
      <c r="Q62" s="135" t="n"/>
      <c r="R62" s="135" t="n"/>
      <c r="S62" s="135" t="n"/>
      <c r="T62" s="135" t="n"/>
      <c r="U62" s="39" t="n"/>
      <c r="V62" s="39" t="n"/>
      <c r="W62" s="135" t="n"/>
      <c r="X62" s="135" t="n"/>
      <c r="Y62" s="135" t="n"/>
      <c r="Z62" s="135" t="n"/>
      <c r="AA62" s="135" t="n"/>
      <c r="AB62" s="39" t="n"/>
      <c r="AC62" s="39" t="n"/>
      <c r="AD62" s="755" t="n"/>
      <c r="AE62" s="755" t="n"/>
      <c r="AF62" s="755" t="n"/>
      <c r="AG62" s="755" t="n"/>
      <c r="AH62" s="755" t="n"/>
      <c r="AI62" s="39" t="n"/>
      <c r="AJ62" s="4" t="n"/>
    </row>
    <row r="63" ht="15.75" customHeight="1" s="757">
      <c r="A63" s="10" t="inlineStr">
        <is>
          <t>FIREFOX TARDA</t>
        </is>
      </c>
      <c r="B63" s="11" t="n"/>
      <c r="C63" s="11" t="n"/>
      <c r="D63" s="12" t="n"/>
      <c r="E63" s="756" t="n"/>
      <c r="F63" s="756" t="n"/>
      <c r="G63" s="24" t="n"/>
      <c r="H63" s="24" t="n"/>
      <c r="I63" s="69" t="n"/>
      <c r="J63" s="69" t="n"/>
      <c r="K63" s="69" t="n"/>
      <c r="L63" s="69" t="n"/>
      <c r="M63" s="69" t="n"/>
      <c r="N63" s="24" t="n"/>
      <c r="O63" s="24" t="n"/>
      <c r="P63" s="69" t="n"/>
      <c r="Q63" s="69" t="n"/>
      <c r="R63" s="69" t="n"/>
      <c r="S63" s="69" t="n"/>
      <c r="T63" s="69" t="n"/>
      <c r="U63" s="24" t="n"/>
      <c r="V63" s="24" t="n"/>
      <c r="W63" s="69" t="n"/>
      <c r="X63" s="69" t="n"/>
      <c r="Y63" s="69" t="n"/>
      <c r="Z63" s="69" t="n"/>
      <c r="AA63" s="69" t="n"/>
      <c r="AB63" s="24" t="n"/>
      <c r="AC63" s="24" t="n"/>
      <c r="AD63" s="756" t="n"/>
      <c r="AE63" s="756" t="n"/>
      <c r="AF63" s="756" t="n"/>
      <c r="AG63" s="756" t="n"/>
      <c r="AH63" s="756" t="n"/>
      <c r="AI63" s="24" t="n"/>
      <c r="AJ63" s="4" t="n"/>
    </row>
    <row r="64" ht="15.75" customHeight="1" s="757">
      <c r="A64" s="10" t="inlineStr">
        <is>
          <t>TARRAGONA matí</t>
        </is>
      </c>
      <c r="B64" s="11" t="n"/>
      <c r="C64" s="11" t="n"/>
      <c r="D64" s="12" t="n"/>
      <c r="E64" s="756" t="n"/>
      <c r="F64" s="756" t="n"/>
      <c r="G64" s="24" t="n"/>
      <c r="H64" s="24" t="n"/>
      <c r="I64" s="69" t="n"/>
      <c r="J64" s="69" t="n"/>
      <c r="K64" s="69" t="n"/>
      <c r="L64" s="69" t="n"/>
      <c r="M64" s="69" t="n"/>
      <c r="N64" s="24" t="n"/>
      <c r="O64" s="24" t="n"/>
      <c r="P64" s="69" t="n"/>
      <c r="Q64" s="69" t="n"/>
      <c r="R64" s="69" t="n"/>
      <c r="S64" s="69" t="n"/>
      <c r="T64" s="69" t="n"/>
      <c r="U64" s="24" t="n"/>
      <c r="V64" s="24" t="n"/>
      <c r="W64" s="69" t="n"/>
      <c r="X64" s="69" t="n"/>
      <c r="Y64" s="69" t="n"/>
      <c r="Z64" s="69" t="n"/>
      <c r="AA64" s="69" t="n"/>
      <c r="AB64" s="24" t="n"/>
      <c r="AC64" s="24" t="n"/>
      <c r="AD64" s="756" t="n"/>
      <c r="AE64" s="756" t="n"/>
      <c r="AF64" s="756" t="n"/>
      <c r="AG64" s="756" t="n"/>
      <c r="AH64" s="756" t="n"/>
      <c r="AI64" s="24" t="n"/>
      <c r="AJ64" s="4" t="n"/>
    </row>
    <row r="65" ht="15.75" customHeight="1" s="757">
      <c r="A65" s="10" t="inlineStr">
        <is>
          <t>TARRAGONA tarda</t>
        </is>
      </c>
      <c r="B65" s="11" t="n"/>
      <c r="C65" s="11" t="n"/>
      <c r="D65" s="12" t="n"/>
      <c r="E65" s="756" t="n"/>
      <c r="F65" s="756" t="n"/>
      <c r="G65" s="24" t="n"/>
      <c r="H65" s="24" t="n"/>
      <c r="I65" s="69" t="n"/>
      <c r="J65" s="69" t="n"/>
      <c r="K65" s="69" t="n"/>
      <c r="L65" s="69" t="n"/>
      <c r="M65" s="69" t="n"/>
      <c r="N65" s="24" t="n"/>
      <c r="O65" s="24" t="n"/>
      <c r="P65" s="69" t="n"/>
      <c r="Q65" s="69" t="n"/>
      <c r="R65" s="69" t="n"/>
      <c r="S65" s="69" t="n"/>
      <c r="T65" s="69" t="n"/>
      <c r="U65" s="24" t="n"/>
      <c r="V65" s="24" t="n"/>
      <c r="W65" s="69" t="n"/>
      <c r="X65" s="69" t="n"/>
      <c r="Y65" s="69" t="n"/>
      <c r="Z65" s="69" t="n"/>
      <c r="AA65" s="69" t="n"/>
      <c r="AB65" s="24" t="n"/>
      <c r="AC65" s="24" t="n"/>
      <c r="AD65" s="756" t="n"/>
      <c r="AE65" s="756" t="n"/>
      <c r="AF65" s="756" t="n"/>
      <c r="AG65" s="756" t="n"/>
      <c r="AH65" s="756" t="n"/>
      <c r="AI65" s="24" t="n"/>
      <c r="AJ65" s="4" t="n"/>
    </row>
    <row r="66" ht="19.5" customHeight="1" s="757" thickBot="1">
      <c r="A66" s="788" t="inlineStr">
        <is>
          <t>SETEMBRE</t>
        </is>
      </c>
      <c r="B66" s="156" t="n"/>
      <c r="C66" s="156" t="n"/>
      <c r="D66" s="156" t="n"/>
      <c r="E66" s="156" t="n"/>
      <c r="F66" s="156" t="n"/>
      <c r="G66" s="156" t="n"/>
      <c r="H66" s="156" t="n"/>
      <c r="I66" s="156" t="n"/>
      <c r="J66" s="156" t="n"/>
      <c r="K66" s="156" t="n"/>
      <c r="L66" s="156" t="n"/>
      <c r="M66" s="156" t="n"/>
      <c r="N66" s="156" t="n"/>
      <c r="O66" s="156" t="n"/>
      <c r="P66" s="156" t="n"/>
      <c r="Q66" s="156" t="n"/>
      <c r="R66" s="156" t="n"/>
      <c r="S66" s="156" t="n"/>
      <c r="T66" s="156" t="n"/>
      <c r="U66" s="156" t="n"/>
      <c r="V66" s="156" t="n"/>
      <c r="W66" s="156" t="n"/>
      <c r="X66" s="156" t="n"/>
      <c r="Y66" s="156" t="n"/>
      <c r="Z66" s="156" t="n"/>
      <c r="AA66" s="156" t="n"/>
      <c r="AB66" s="156" t="n"/>
      <c r="AC66" s="156" t="n"/>
      <c r="AD66" s="156" t="n"/>
      <c r="AE66" s="156" t="n"/>
      <c r="AF66" s="156" t="n"/>
      <c r="AG66" s="156" t="n"/>
      <c r="AH66" s="156" t="n"/>
      <c r="AI66" s="142" t="n"/>
      <c r="AJ66" s="524" t="n">
        <v>19</v>
      </c>
      <c r="AK66">
        <f>AK58+AJ66</f>
        <v/>
      </c>
    </row>
    <row r="67" ht="64.5" customHeight="1" s="757">
      <c r="A67" s="7" t="inlineStr">
        <is>
          <t>AULA</t>
        </is>
      </c>
      <c r="B67" s="8" t="inlineStr">
        <is>
          <t>INICI</t>
        </is>
      </c>
      <c r="C67" s="8" t="inlineStr">
        <is>
          <t>FINAL</t>
        </is>
      </c>
      <c r="D67" s="8" t="inlineStr">
        <is>
          <t>AULA</t>
        </is>
      </c>
      <c r="E67" s="9" t="n">
        <v>45536</v>
      </c>
      <c r="F67" s="171" t="n">
        <v>45537</v>
      </c>
      <c r="G67" s="171" t="n">
        <v>45538</v>
      </c>
      <c r="H67" s="171" t="n">
        <v>45539</v>
      </c>
      <c r="I67" s="171" t="n">
        <v>45540</v>
      </c>
      <c r="J67" s="171" t="n">
        <v>45541</v>
      </c>
      <c r="K67" s="171" t="n">
        <v>45542</v>
      </c>
      <c r="L67" s="171" t="n">
        <v>45543</v>
      </c>
      <c r="M67" s="171" t="n">
        <v>45544</v>
      </c>
      <c r="N67" s="171" t="n">
        <v>45545</v>
      </c>
      <c r="O67" s="171" t="n">
        <v>45546</v>
      </c>
      <c r="P67" s="171" t="n">
        <v>45547</v>
      </c>
      <c r="Q67" s="171" t="n">
        <v>45548</v>
      </c>
      <c r="R67" s="171" t="n">
        <v>45549</v>
      </c>
      <c r="S67" s="171" t="n">
        <v>45550</v>
      </c>
      <c r="T67" s="171" t="n">
        <v>45551</v>
      </c>
      <c r="U67" s="171" t="n">
        <v>45552</v>
      </c>
      <c r="V67" s="171" t="n">
        <v>45553</v>
      </c>
      <c r="W67" s="171" t="n">
        <v>45554</v>
      </c>
      <c r="X67" s="171" t="n">
        <v>45555</v>
      </c>
      <c r="Y67" s="171" t="n">
        <v>45556</v>
      </c>
      <c r="Z67" s="171" t="n">
        <v>45557</v>
      </c>
      <c r="AA67" s="171" t="n">
        <v>45558</v>
      </c>
      <c r="AB67" s="171" t="n">
        <v>45559</v>
      </c>
      <c r="AC67" s="171" t="n">
        <v>45560</v>
      </c>
      <c r="AD67" s="171" t="n">
        <v>45561</v>
      </c>
      <c r="AE67" s="171" t="n">
        <v>45562</v>
      </c>
      <c r="AF67" s="171" t="n">
        <v>45563</v>
      </c>
      <c r="AG67" s="171" t="n">
        <v>45564</v>
      </c>
      <c r="AH67" s="171" t="n">
        <v>45565</v>
      </c>
      <c r="AI67" s="9" t="n"/>
      <c r="AJ67" s="4" t="n"/>
    </row>
    <row r="68" ht="15.75" customHeight="1" s="757">
      <c r="A68" s="10" t="inlineStr">
        <is>
          <t>GOOGLE MATINS</t>
        </is>
      </c>
      <c r="B68" s="11" t="n"/>
      <c r="C68" s="11" t="n"/>
      <c r="D68" s="12" t="n"/>
      <c r="E68" s="24" t="n"/>
      <c r="F68" s="29" t="n"/>
      <c r="G68" s="29" t="n"/>
      <c r="H68" s="29" t="n"/>
      <c r="I68" s="29" t="n"/>
      <c r="J68" s="29" t="n"/>
      <c r="K68" s="24" t="n"/>
      <c r="L68" s="24" t="n"/>
      <c r="M68" s="29" t="n"/>
      <c r="N68" s="29" t="n"/>
      <c r="O68" s="26" t="n"/>
      <c r="P68" s="29" t="n"/>
      <c r="Q68" s="29" t="n"/>
      <c r="R68" s="24" t="n"/>
      <c r="S68" s="24" t="n"/>
      <c r="T68" s="29" t="n"/>
      <c r="U68" s="29" t="n"/>
      <c r="V68" s="625" t="inlineStr">
        <is>
          <t>P</t>
        </is>
      </c>
      <c r="W68" s="267" t="inlineStr">
        <is>
          <t>MFO233_2 PERE</t>
        </is>
      </c>
      <c r="X68" s="29" t="n"/>
      <c r="Y68" s="24" t="n"/>
      <c r="Z68" s="329" t="n"/>
      <c r="AA68" s="29" t="n"/>
      <c r="AB68" s="330" t="inlineStr">
        <is>
          <t>UF0319</t>
        </is>
      </c>
      <c r="AC68" s="323" t="n"/>
      <c r="AD68" s="330" t="inlineStr">
        <is>
          <t>UF0320</t>
        </is>
      </c>
      <c r="AE68" s="29" t="n"/>
      <c r="AF68" s="24" t="n"/>
      <c r="AG68" s="24" t="n"/>
      <c r="AH68" s="29" t="n"/>
      <c r="AI68" s="756" t="n"/>
      <c r="AJ68" s="4" t="n"/>
      <c r="AK68" s="228">
        <f>AK60+AJ66</f>
        <v/>
      </c>
      <c r="AL68" s="525" t="inlineStr">
        <is>
          <t>007- CEN 0208 (6H)</t>
        </is>
      </c>
      <c r="AM68" s="525" t="n"/>
      <c r="AN68" s="525" t="n"/>
      <c r="AO68" s="525" t="n"/>
    </row>
    <row r="69" ht="16.5" customHeight="1" s="757" thickBot="1">
      <c r="A69" s="14" t="inlineStr">
        <is>
          <t>FIREFOX MATINS</t>
        </is>
      </c>
      <c r="B69" s="15" t="n"/>
      <c r="C69" s="15" t="n"/>
      <c r="D69" s="15" t="n"/>
      <c r="E69" s="35" t="n"/>
      <c r="F69" s="307" t="inlineStr">
        <is>
          <t>MF0343_2</t>
        </is>
      </c>
      <c r="G69" s="238" t="n"/>
      <c r="H69" s="238" t="n"/>
      <c r="I69" s="238" t="n"/>
      <c r="J69" s="238" t="n"/>
      <c r="K69" s="126" t="n"/>
      <c r="L69" s="126" t="n"/>
      <c r="M69" s="238" t="n"/>
      <c r="N69" s="308" t="inlineStr">
        <is>
          <t>UC0343-2</t>
        </is>
      </c>
      <c r="O69" s="306" t="n"/>
      <c r="P69" s="309" t="inlineStr">
        <is>
          <t>MF0344_2</t>
        </is>
      </c>
      <c r="Q69" s="238" t="n"/>
      <c r="R69" s="126" t="n"/>
      <c r="S69" s="126" t="n"/>
      <c r="T69" s="238" t="n"/>
      <c r="U69" s="238" t="n"/>
      <c r="V69" s="238" t="n"/>
      <c r="W69" s="238" t="n"/>
      <c r="X69" s="238" t="n"/>
      <c r="Y69" s="126" t="n"/>
      <c r="Z69" s="126" t="n"/>
      <c r="AA69" s="238" t="n"/>
      <c r="AB69" s="238" t="n"/>
      <c r="AC69" s="238" t="n"/>
      <c r="AD69" s="238" t="n"/>
      <c r="AE69" s="308" t="inlineStr">
        <is>
          <t>UC0344_2</t>
        </is>
      </c>
      <c r="AF69" s="310" t="n"/>
      <c r="AG69" s="126" t="n"/>
      <c r="AH69" s="309" t="inlineStr">
        <is>
          <t>MF0345_2</t>
        </is>
      </c>
      <c r="AI69" s="778" t="n"/>
      <c r="AJ69" s="4" t="n"/>
      <c r="AK69" t="n">
        <v>19</v>
      </c>
      <c r="AL69" s="750" t="inlineStr">
        <is>
          <t>012 -IMPE0108 2ª (5H)</t>
        </is>
      </c>
    </row>
    <row r="70" ht="16.5" customHeight="1" s="757" thickTop="1">
      <c r="A70" s="17" t="inlineStr">
        <is>
          <t>GOOGLE TARDA</t>
        </is>
      </c>
      <c r="B70" s="18" t="n"/>
      <c r="C70" s="18" t="n"/>
      <c r="D70" s="18" t="n"/>
      <c r="E70" s="39" t="n"/>
      <c r="F70" s="617" t="inlineStr">
        <is>
          <t>FCOV05</t>
        </is>
      </c>
      <c r="G70" s="237" t="n"/>
      <c r="H70" s="237" t="n"/>
      <c r="I70" s="237" t="n"/>
      <c r="J70" s="237" t="n"/>
      <c r="K70" s="39" t="n"/>
      <c r="L70" s="39" t="n"/>
      <c r="M70" s="237" t="n"/>
      <c r="N70" s="237" t="n"/>
      <c r="O70" s="28" t="n"/>
      <c r="P70" s="237" t="n"/>
      <c r="Q70" s="237" t="n"/>
      <c r="R70" s="39" t="n"/>
      <c r="S70" s="39" t="n"/>
      <c r="T70" s="237" t="n"/>
      <c r="U70" s="237" t="n"/>
      <c r="V70" s="237" t="n"/>
      <c r="W70" s="237" t="n"/>
      <c r="X70" s="237" t="n"/>
      <c r="Y70" s="39" t="n"/>
      <c r="Z70" s="39" t="n"/>
      <c r="AA70" s="237" t="n"/>
      <c r="AB70" s="237" t="n"/>
      <c r="AC70" s="237" t="n"/>
      <c r="AD70" s="237" t="n"/>
      <c r="AE70" s="237" t="n"/>
      <c r="AF70" s="39" t="n"/>
      <c r="AG70" s="39" t="n"/>
      <c r="AH70" s="237" t="n"/>
      <c r="AI70" s="755" t="n"/>
      <c r="AJ70" s="4" t="n"/>
      <c r="AK70" t="n">
        <v>19</v>
      </c>
      <c r="AL70" s="618" t="inlineStr">
        <is>
          <t>014-FCOV05 ANGLES (2ªED) 5H</t>
        </is>
      </c>
      <c r="AM70" s="609" t="n"/>
      <c r="AN70" s="609" t="n"/>
      <c r="AO70" s="609" t="n"/>
      <c r="AP70" s="609" t="n"/>
      <c r="AQ70" s="262" t="n"/>
      <c r="AR70" s="775" t="n"/>
    </row>
    <row r="71" ht="15.75" customHeight="1" s="757">
      <c r="A71" s="10" t="inlineStr">
        <is>
          <t>FIREFOX TARDA</t>
        </is>
      </c>
      <c r="B71" s="11" t="n"/>
      <c r="C71" s="11" t="n"/>
      <c r="D71" s="12" t="n"/>
      <c r="E71" s="24" t="n"/>
      <c r="F71" s="755" t="n"/>
      <c r="G71" s="755" t="n"/>
      <c r="H71" s="755" t="n"/>
      <c r="I71" s="755" t="n"/>
      <c r="J71" s="755" t="n"/>
      <c r="K71" s="39" t="n"/>
      <c r="L71" s="39" t="n"/>
      <c r="M71" s="755" t="n"/>
      <c r="N71" s="755" t="n"/>
      <c r="O71" s="28" t="n"/>
      <c r="P71" s="755" t="n"/>
      <c r="Q71" s="755" t="n"/>
      <c r="R71" s="39" t="n"/>
      <c r="S71" s="39" t="n"/>
      <c r="T71" s="33" t="inlineStr">
        <is>
          <t>4-CRR</t>
        </is>
      </c>
      <c r="U71" s="33" t="n"/>
      <c r="V71" s="274" t="n"/>
      <c r="W71" s="274" t="n"/>
      <c r="X71" s="33" t="n"/>
      <c r="Y71" s="39" t="n"/>
      <c r="Z71" s="39" t="n"/>
      <c r="AA71" s="755" t="n"/>
      <c r="AB71" s="755" t="n"/>
      <c r="AC71" s="755" t="n"/>
      <c r="AD71" s="755" t="n"/>
      <c r="AE71" s="755" t="n"/>
      <c r="AF71" s="39" t="n"/>
      <c r="AG71" s="39" t="n"/>
      <c r="AH71" s="755" t="n"/>
      <c r="AI71" s="756" t="n"/>
      <c r="AJ71" s="4" t="n"/>
      <c r="AL71" s="661" t="inlineStr">
        <is>
          <t>4-OPERACIÓ CARRETONS</t>
        </is>
      </c>
    </row>
    <row r="72" ht="15.75" customHeight="1" s="757">
      <c r="A72" s="10" t="inlineStr">
        <is>
          <t>TARRAGONA matí</t>
        </is>
      </c>
      <c r="B72" s="11" t="n"/>
      <c r="C72" s="11" t="n"/>
      <c r="D72" s="12" t="n"/>
      <c r="E72" s="24" t="n"/>
      <c r="G72" s="756" t="n"/>
      <c r="H72" s="756" t="n"/>
      <c r="I72" s="756" t="n"/>
      <c r="J72" s="756" t="n"/>
      <c r="K72" s="24" t="n"/>
      <c r="L72" s="24" t="n"/>
      <c r="M72" s="756" t="n"/>
      <c r="N72" s="756" t="n"/>
      <c r="O72" s="26" t="n"/>
      <c r="P72" s="756" t="n"/>
      <c r="Q72" s="756" t="n"/>
      <c r="R72" s="24" t="n"/>
      <c r="S72" s="24" t="n"/>
      <c r="T72" s="285" t="inlineStr">
        <is>
          <t>PERE</t>
        </is>
      </c>
      <c r="V72" s="284" t="n"/>
      <c r="X72" s="756" t="n"/>
      <c r="Y72" s="24" t="n"/>
      <c r="Z72" s="24" t="n"/>
      <c r="AA72" s="26" t="n"/>
      <c r="AB72" s="284" t="n"/>
      <c r="AD72" s="284" t="n"/>
      <c r="AE72" s="756" t="n"/>
      <c r="AF72" s="24" t="n"/>
      <c r="AG72" s="24" t="n"/>
      <c r="AH72" s="284" t="n"/>
      <c r="AI72" s="756" t="n"/>
      <c r="AJ72" s="4" t="n"/>
      <c r="AP72" s="619" t="inlineStr">
        <is>
          <t xml:space="preserve">EAPC - ACTIC INTERMEDI C1-C8 </t>
        </is>
      </c>
      <c r="AQ72" s="285" t="n"/>
      <c r="AR72" s="285" t="n"/>
      <c r="AS72" s="285" t="n"/>
      <c r="AT72" s="285" t="n"/>
      <c r="AU72" s="285" t="n"/>
    </row>
    <row r="73" ht="15.75" customHeight="1" s="757">
      <c r="A73" s="10" t="inlineStr">
        <is>
          <t>TARRAGONA tarde</t>
        </is>
      </c>
      <c r="B73" s="11" t="n"/>
      <c r="C73" s="11" t="n"/>
      <c r="D73" s="12" t="n"/>
      <c r="E73" s="24" t="n"/>
      <c r="F73" s="756" t="n"/>
      <c r="G73" s="756" t="n"/>
      <c r="H73" s="756" t="n"/>
      <c r="I73" s="756" t="n"/>
      <c r="J73" s="756" t="n"/>
      <c r="K73" s="24" t="n"/>
      <c r="L73" s="24" t="n"/>
      <c r="M73" s="756" t="n"/>
      <c r="N73" s="756" t="n"/>
      <c r="O73" s="26" t="n"/>
      <c r="P73" s="756" t="n"/>
      <c r="Q73" s="756" t="n"/>
      <c r="R73" s="24" t="n"/>
      <c r="S73" s="24" t="n"/>
      <c r="T73" s="756" t="n"/>
      <c r="U73" s="756" t="n"/>
      <c r="V73" s="756" t="n"/>
      <c r="W73" s="756" t="n"/>
      <c r="X73" s="756" t="n"/>
      <c r="Y73" s="24" t="n"/>
      <c r="Z73" s="24" t="n"/>
      <c r="AA73" s="26" t="n"/>
      <c r="AB73" s="756" t="n"/>
      <c r="AC73" s="756" t="n"/>
      <c r="AD73" s="756" t="n"/>
      <c r="AE73" s="756" t="n"/>
      <c r="AF73" s="24" t="n"/>
      <c r="AG73" s="24" t="n"/>
      <c r="AH73" s="756" t="n"/>
      <c r="AI73" s="756" t="n"/>
      <c r="AJ73" s="4" t="n"/>
    </row>
    <row r="74" ht="19.5" customHeight="1" s="757" thickBot="1">
      <c r="A74" s="788" t="inlineStr">
        <is>
          <t>OCTUBRE</t>
        </is>
      </c>
      <c r="B74" s="156" t="n"/>
      <c r="C74" s="156" t="n"/>
      <c r="D74" s="156" t="n"/>
      <c r="E74" s="156" t="n"/>
      <c r="F74" s="156" t="n"/>
      <c r="G74" s="156" t="n"/>
      <c r="H74" s="156" t="n"/>
      <c r="I74" s="156" t="n"/>
      <c r="J74" s="156" t="n"/>
      <c r="K74" s="156" t="n"/>
      <c r="L74" s="156" t="n"/>
      <c r="M74" s="156" t="n"/>
      <c r="N74" s="156" t="n"/>
      <c r="O74" s="156" t="n"/>
      <c r="P74" s="156" t="n"/>
      <c r="Q74" s="156" t="n"/>
      <c r="R74" s="156" t="n"/>
      <c r="S74" s="156" t="n"/>
      <c r="T74" s="156" t="n"/>
      <c r="U74" s="156" t="n"/>
      <c r="V74" s="156" t="n"/>
      <c r="W74" s="156" t="n"/>
      <c r="X74" s="156" t="n"/>
      <c r="Y74" s="156" t="n"/>
      <c r="Z74" s="156" t="n"/>
      <c r="AA74" s="156" t="n"/>
      <c r="AB74" s="156" t="n"/>
      <c r="AC74" s="156" t="n"/>
      <c r="AD74" s="156" t="n"/>
      <c r="AE74" s="156" t="n"/>
      <c r="AF74" s="156" t="n"/>
      <c r="AG74" s="156" t="n"/>
      <c r="AH74" s="156" t="n"/>
      <c r="AI74" s="142" t="n"/>
      <c r="AJ74" s="524" t="n">
        <v>23</v>
      </c>
      <c r="AK74">
        <f>AK66+AJ74</f>
        <v/>
      </c>
      <c r="AN74" s="756" t="n"/>
    </row>
    <row r="75" ht="64.5" customHeight="1" s="757">
      <c r="A75" s="7" t="inlineStr">
        <is>
          <t>AULA</t>
        </is>
      </c>
      <c r="B75" s="8" t="inlineStr">
        <is>
          <t>INICI</t>
        </is>
      </c>
      <c r="C75" s="8" t="inlineStr">
        <is>
          <t>FINAL</t>
        </is>
      </c>
      <c r="D75" s="8" t="inlineStr">
        <is>
          <t>AULA</t>
        </is>
      </c>
      <c r="E75" s="9" t="n">
        <v>45566</v>
      </c>
      <c r="F75" s="9" t="n">
        <v>45567</v>
      </c>
      <c r="G75" s="9" t="n">
        <v>45568</v>
      </c>
      <c r="H75" s="9" t="n">
        <v>45569</v>
      </c>
      <c r="I75" s="9" t="n">
        <v>45570</v>
      </c>
      <c r="J75" s="9" t="n">
        <v>45571</v>
      </c>
      <c r="K75" s="9" t="n">
        <v>45572</v>
      </c>
      <c r="L75" s="9" t="n">
        <v>45573</v>
      </c>
      <c r="M75" s="9" t="n">
        <v>45574</v>
      </c>
      <c r="N75" s="9" t="n">
        <v>45575</v>
      </c>
      <c r="O75" s="9" t="n">
        <v>45576</v>
      </c>
      <c r="P75" s="9" t="n">
        <v>45577</v>
      </c>
      <c r="Q75" s="9" t="n">
        <v>45578</v>
      </c>
      <c r="R75" s="9" t="n">
        <v>45579</v>
      </c>
      <c r="S75" s="9" t="n">
        <v>45580</v>
      </c>
      <c r="T75" s="9" t="n">
        <v>45581</v>
      </c>
      <c r="U75" s="9" t="n">
        <v>45582</v>
      </c>
      <c r="V75" s="9" t="n">
        <v>45583</v>
      </c>
      <c r="W75" s="9" t="n">
        <v>45584</v>
      </c>
      <c r="X75" s="9" t="n">
        <v>45585</v>
      </c>
      <c r="Y75" s="9" t="n">
        <v>45586</v>
      </c>
      <c r="Z75" s="9" t="n">
        <v>45587</v>
      </c>
      <c r="AA75" s="9" t="n">
        <v>45588</v>
      </c>
      <c r="AB75" s="9" t="n">
        <v>45589</v>
      </c>
      <c r="AC75" s="9" t="n">
        <v>45590</v>
      </c>
      <c r="AD75" s="9" t="n">
        <v>45591</v>
      </c>
      <c r="AE75" s="9" t="n">
        <v>45592</v>
      </c>
      <c r="AF75" s="9" t="n">
        <v>45593</v>
      </c>
      <c r="AG75" s="9" t="n">
        <v>45594</v>
      </c>
      <c r="AH75" s="9" t="n">
        <v>45595</v>
      </c>
      <c r="AI75" s="9" t="n">
        <v>45596</v>
      </c>
      <c r="AJ75" s="4" t="n"/>
    </row>
    <row r="76" ht="15.75" customHeight="1" s="757">
      <c r="A76" s="10" t="inlineStr">
        <is>
          <t>GOOGLE MATINS</t>
        </is>
      </c>
      <c r="B76" s="11" t="n"/>
      <c r="C76" s="11" t="n"/>
      <c r="D76" s="12" t="n"/>
      <c r="E76" s="29" t="n"/>
      <c r="F76" s="323" t="n"/>
      <c r="G76" s="330" t="inlineStr">
        <is>
          <t>UF0321</t>
        </is>
      </c>
      <c r="H76" s="29" t="n"/>
      <c r="I76" s="24" t="n"/>
      <c r="J76" s="24" t="n"/>
      <c r="K76" s="29" t="n"/>
      <c r="L76" s="29" t="n"/>
      <c r="M76" s="29" t="n"/>
      <c r="N76" s="29" t="n"/>
      <c r="O76" s="29" t="n"/>
      <c r="P76" s="24" t="n"/>
      <c r="Q76" s="24" t="n"/>
      <c r="R76" s="322" t="n"/>
      <c r="S76" s="326" t="inlineStr">
        <is>
          <t>UF0322</t>
        </is>
      </c>
      <c r="T76" s="29" t="n"/>
      <c r="U76" s="29" t="n"/>
      <c r="V76" s="29" t="n"/>
      <c r="W76" s="24" t="n"/>
      <c r="X76" s="24" t="n"/>
      <c r="Y76" s="29" t="n"/>
      <c r="Z76" s="29" t="n"/>
      <c r="AA76" s="29" t="n"/>
      <c r="AB76" s="29" t="n"/>
      <c r="AC76" s="323" t="n"/>
      <c r="AD76" s="24" t="n"/>
      <c r="AE76" s="24" t="n"/>
      <c r="AF76" s="330" t="inlineStr">
        <is>
          <t>UF0323</t>
        </is>
      </c>
      <c r="AG76" s="29" t="n"/>
      <c r="AH76" s="29" t="n"/>
      <c r="AI76" s="29" t="n"/>
      <c r="AJ76" s="4" t="n"/>
      <c r="AK76" s="228">
        <f>AK68+AJ74</f>
        <v/>
      </c>
      <c r="AL76" s="525" t="inlineStr">
        <is>
          <t>007- CEN 0208 (6H)</t>
        </is>
      </c>
      <c r="AM76" s="525" t="n"/>
      <c r="AN76" s="525" t="n"/>
      <c r="AO76" s="525" t="n"/>
      <c r="AP76" s="775" t="n"/>
    </row>
    <row r="77" ht="19.5" customHeight="1" s="757" thickBot="1">
      <c r="A77" s="14" t="inlineStr">
        <is>
          <t>FIREFOX MATINS</t>
        </is>
      </c>
      <c r="B77" s="15" t="n"/>
      <c r="C77" s="15" t="n"/>
      <c r="D77" s="15" t="n"/>
      <c r="E77" s="238" t="n"/>
      <c r="F77" s="238" t="n"/>
      <c r="G77" s="238" t="n"/>
      <c r="H77" s="238" t="n"/>
      <c r="I77" s="35" t="n"/>
      <c r="J77" s="35" t="n"/>
      <c r="K77" s="238" t="n"/>
      <c r="L77" s="238" t="n"/>
      <c r="M77" s="238" t="n"/>
      <c r="N77" s="238" t="n"/>
      <c r="O77" s="238" t="n"/>
      <c r="P77" s="35" t="n"/>
      <c r="Q77" s="35" t="n"/>
      <c r="R77" s="238" t="n"/>
      <c r="S77" s="238" t="n"/>
      <c r="T77" s="238" t="n"/>
      <c r="U77" s="238" t="n"/>
      <c r="V77" s="238" t="n"/>
      <c r="W77" s="35" t="n"/>
      <c r="X77" s="35" t="n"/>
      <c r="Y77" s="238" t="n"/>
      <c r="Z77" s="238" t="n"/>
      <c r="AA77" s="308" t="inlineStr">
        <is>
          <t>UC0345_2</t>
        </is>
      </c>
      <c r="AB77" s="311" t="inlineStr">
        <is>
          <t>P</t>
        </is>
      </c>
      <c r="AC77" s="309" t="inlineStr">
        <is>
          <t>MF0346_2</t>
        </is>
      </c>
      <c r="AD77" s="35" t="n"/>
      <c r="AE77" s="35" t="n"/>
      <c r="AF77" s="238" t="n"/>
      <c r="AG77" s="238" t="n"/>
      <c r="AH77" s="238" t="n"/>
      <c r="AI77" s="238" t="n"/>
      <c r="AJ77" s="4" t="n"/>
      <c r="AK77">
        <f>AK69+AJ74</f>
        <v/>
      </c>
      <c r="AL77" s="750" t="inlineStr">
        <is>
          <t>012 -IMPE0108 2ª (5H)</t>
        </is>
      </c>
    </row>
    <row r="78" ht="19.5" customHeight="1" s="757" thickTop="1">
      <c r="A78" s="17" t="inlineStr">
        <is>
          <t>GOOGLE TARDA</t>
        </is>
      </c>
      <c r="B78" s="18" t="n"/>
      <c r="C78" s="18" t="n"/>
      <c r="D78" s="18" t="n"/>
      <c r="E78" s="237" t="n"/>
      <c r="F78" s="237" t="n"/>
      <c r="G78" s="237" t="n"/>
      <c r="H78" s="237" t="n"/>
      <c r="I78" s="39" t="n"/>
      <c r="J78" s="39" t="n"/>
      <c r="K78" s="237" t="n"/>
      <c r="L78" s="237" t="n"/>
      <c r="M78" s="237" t="n"/>
      <c r="N78" s="237" t="n"/>
      <c r="O78" s="237" t="n"/>
      <c r="P78" s="39" t="n"/>
      <c r="Q78" s="39" t="n"/>
      <c r="R78" s="237" t="n"/>
      <c r="S78" s="237" t="n"/>
      <c r="T78" s="237" t="n"/>
      <c r="U78" s="237" t="n"/>
      <c r="V78" s="237" t="n"/>
      <c r="W78" s="39" t="n"/>
      <c r="X78" s="39" t="n"/>
      <c r="Y78" s="237" t="n"/>
      <c r="Z78" s="237" t="n"/>
      <c r="AA78" s="237" t="n"/>
      <c r="AB78" s="339" t="inlineStr">
        <is>
          <t>FCOO03</t>
        </is>
      </c>
      <c r="AC78" s="269" t="n"/>
      <c r="AD78" s="270" t="n"/>
      <c r="AE78" s="39" t="n"/>
      <c r="AF78" s="339" t="inlineStr">
        <is>
          <t>FCOS02</t>
        </is>
      </c>
      <c r="AG78" s="261" t="n"/>
      <c r="AH78" s="261" t="n"/>
      <c r="AI78" s="261" t="n"/>
      <c r="AJ78" s="4" t="n"/>
      <c r="AK78" s="233">
        <f>AK70+17</f>
        <v/>
      </c>
      <c r="AL78" s="618" t="inlineStr">
        <is>
          <t>014-FCOV05 ANGLES (2ªED) 5H</t>
        </is>
      </c>
      <c r="AM78" s="609" t="n"/>
      <c r="AN78" s="609" t="n"/>
      <c r="AO78" s="609" t="n"/>
      <c r="AP78" s="609" t="n"/>
      <c r="AQ78" s="262" t="n"/>
      <c r="AR78" s="735" t="inlineStr">
        <is>
          <t>021+022 FCO</t>
        </is>
      </c>
    </row>
    <row r="79" ht="15.75" customHeight="1" s="757">
      <c r="A79" s="10" t="inlineStr">
        <is>
          <t>FIREFOX TARDA</t>
        </is>
      </c>
      <c r="B79" s="11" t="n"/>
      <c r="C79" s="11" t="n"/>
      <c r="D79" s="12" t="n"/>
      <c r="E79" s="755" t="n"/>
      <c r="F79" s="755" t="n"/>
      <c r="G79" s="755" t="n"/>
      <c r="H79" s="755" t="n"/>
      <c r="I79" s="39" t="n"/>
      <c r="J79" s="39" t="n"/>
      <c r="K79" s="755" t="n"/>
      <c r="L79" s="755" t="n"/>
      <c r="M79" s="755" t="n"/>
      <c r="N79" s="755" t="n"/>
      <c r="O79" s="755" t="n"/>
      <c r="P79" s="39" t="n"/>
      <c r="Q79" s="39" t="n"/>
      <c r="R79" s="755" t="n"/>
      <c r="S79" s="755" t="n"/>
      <c r="T79" s="755" t="n"/>
      <c r="U79" s="287" t="n"/>
      <c r="V79" s="755" t="n"/>
      <c r="W79" s="39" t="n"/>
      <c r="X79" s="39" t="n"/>
      <c r="Y79" s="755" t="n"/>
      <c r="Z79" s="755" t="n"/>
      <c r="AA79" s="755" t="n"/>
      <c r="AB79" s="756" t="n"/>
      <c r="AC79" s="756" t="n"/>
      <c r="AD79" s="24" t="n"/>
      <c r="AE79" s="24" t="n"/>
      <c r="AF79" s="756" t="n"/>
      <c r="AG79" s="756" t="n"/>
      <c r="AH79" s="756" t="n"/>
      <c r="AI79" s="756" t="n"/>
      <c r="AJ79" s="4" t="n"/>
      <c r="AL79" s="287" t="n"/>
      <c r="AM79" s="775" t="inlineStr">
        <is>
          <t>8 VAM</t>
        </is>
      </c>
    </row>
    <row r="80" ht="15.75" customHeight="1" s="757">
      <c r="A80" s="10" t="inlineStr">
        <is>
          <t>TARRAGONA matí</t>
        </is>
      </c>
      <c r="B80" s="11" t="n"/>
      <c r="C80" s="11" t="n"/>
      <c r="D80" s="12" t="n"/>
      <c r="E80" s="291" t="inlineStr">
        <is>
          <t>RAF</t>
        </is>
      </c>
      <c r="F80" s="756" t="n"/>
      <c r="G80" s="291" t="inlineStr">
        <is>
          <t>RAF</t>
        </is>
      </c>
      <c r="H80" s="756" t="n"/>
      <c r="I80" s="24" t="n"/>
      <c r="J80" s="24" t="n"/>
      <c r="K80" s="291" t="inlineStr">
        <is>
          <t>RAF</t>
        </is>
      </c>
      <c r="L80" s="756" t="n"/>
      <c r="M80" s="756" t="n"/>
      <c r="N80" s="756" t="n"/>
      <c r="O80" s="756" t="n"/>
      <c r="P80" s="24" t="n"/>
      <c r="Q80" s="24" t="n"/>
      <c r="R80" s="620" t="inlineStr">
        <is>
          <t>AYALA</t>
        </is>
      </c>
      <c r="S80" s="756" t="n"/>
      <c r="T80" s="284" t="n"/>
      <c r="U80" s="756" t="n"/>
      <c r="V80" s="756" t="n"/>
      <c r="W80" s="24" t="n"/>
      <c r="X80" s="24" t="n"/>
      <c r="Y80" s="284" t="n"/>
      <c r="Z80" s="756" t="n"/>
      <c r="AA80" s="756" t="n"/>
      <c r="AB80" s="286" t="inlineStr">
        <is>
          <t>PERE</t>
        </is>
      </c>
      <c r="AC80" s="756" t="n"/>
      <c r="AD80" s="24" t="n"/>
      <c r="AE80" s="24" t="n"/>
      <c r="AF80" s="756" t="n"/>
      <c r="AG80" s="286" t="n"/>
      <c r="AH80" s="756" t="n"/>
      <c r="AI80" s="286" t="n"/>
      <c r="AJ80" s="4" t="n"/>
      <c r="AL80" s="290" t="inlineStr">
        <is>
          <t>EAPC- EXCEL AVANÇAT</t>
        </is>
      </c>
      <c r="AM80" s="286" t="n"/>
      <c r="AN80" s="286" t="n"/>
      <c r="AQ80" s="285" t="inlineStr">
        <is>
          <t>EAPC - POWER BI</t>
        </is>
      </c>
      <c r="AR80" s="285" t="n"/>
      <c r="AS80" s="285" t="n"/>
      <c r="AT80" s="285" t="n"/>
      <c r="AV80" s="286" t="inlineStr">
        <is>
          <t>EAPC - ACCÉS AVANÇAT</t>
        </is>
      </c>
      <c r="AW80" s="286" t="n"/>
      <c r="AX80" s="286" t="n"/>
      <c r="AY80" s="286" t="n"/>
      <c r="AZ80" s="286" t="n"/>
    </row>
    <row r="81" ht="15.75" customHeight="1" s="757">
      <c r="A81" s="10" t="inlineStr">
        <is>
          <t>TARRAGONA tarde</t>
        </is>
      </c>
      <c r="B81" s="11" t="n"/>
      <c r="C81" s="11" t="n"/>
      <c r="D81" s="12" t="n"/>
      <c r="E81" s="756" t="n"/>
      <c r="F81" s="756" t="n"/>
      <c r="G81" s="756" t="n"/>
      <c r="H81" s="756" t="n"/>
      <c r="I81" s="24" t="n"/>
      <c r="J81" s="24" t="n"/>
      <c r="K81" s="756" t="n"/>
      <c r="L81" s="756" t="n"/>
      <c r="M81" s="756" t="n"/>
      <c r="N81" s="756" t="n"/>
      <c r="O81" s="756" t="n"/>
      <c r="P81" s="24" t="n"/>
      <c r="Q81" s="24" t="n"/>
      <c r="R81" s="756" t="n"/>
      <c r="S81" s="756" t="n"/>
      <c r="T81" s="756" t="n"/>
      <c r="U81" s="756" t="n"/>
      <c r="V81" s="756" t="n"/>
      <c r="W81" s="24" t="n"/>
      <c r="X81" s="24" t="n"/>
      <c r="Y81" s="756" t="n"/>
      <c r="Z81" s="756" t="n"/>
      <c r="AA81" s="756" t="n"/>
      <c r="AB81" s="756" t="n"/>
      <c r="AC81" s="756" t="n"/>
      <c r="AD81" s="24" t="n"/>
      <c r="AE81" s="24" t="n"/>
      <c r="AF81" s="756" t="n"/>
      <c r="AG81" s="756" t="n"/>
      <c r="AH81" s="756" t="n"/>
      <c r="AI81" s="756" t="n"/>
      <c r="AJ81" s="4" t="n"/>
    </row>
    <row r="82" ht="19.5" customHeight="1" s="757" thickBot="1">
      <c r="A82" s="788" t="inlineStr">
        <is>
          <t>NOVEMBRE</t>
        </is>
      </c>
      <c r="B82" s="156" t="n"/>
      <c r="C82" s="156" t="n"/>
      <c r="D82" s="156" t="n"/>
      <c r="E82" s="156" t="n"/>
      <c r="F82" s="156" t="n"/>
      <c r="G82" s="156" t="n"/>
      <c r="H82" s="156" t="n"/>
      <c r="I82" s="156" t="n"/>
      <c r="J82" s="156" t="n"/>
      <c r="K82" s="156" t="n"/>
      <c r="L82" s="156" t="n"/>
      <c r="M82" s="156" t="n"/>
      <c r="N82" s="156" t="n"/>
      <c r="O82" s="156" t="n"/>
      <c r="P82" s="156" t="n"/>
      <c r="Q82" s="156" t="n"/>
      <c r="R82" s="156" t="n"/>
      <c r="S82" s="156" t="n"/>
      <c r="T82" s="156" t="n"/>
      <c r="U82" s="156" t="n"/>
      <c r="V82" s="156" t="n"/>
      <c r="W82" s="156" t="n"/>
      <c r="X82" s="156" t="n"/>
      <c r="Y82" s="156" t="n"/>
      <c r="Z82" s="156" t="n"/>
      <c r="AA82" s="156" t="n"/>
      <c r="AB82" s="156" t="n"/>
      <c r="AC82" s="156" t="n"/>
      <c r="AD82" s="156" t="n"/>
      <c r="AE82" s="156" t="n"/>
      <c r="AF82" s="156" t="n"/>
      <c r="AG82" s="156" t="n"/>
      <c r="AH82" s="156" t="n"/>
      <c r="AI82" s="142" t="n"/>
      <c r="AJ82" s="524" t="n">
        <v>20</v>
      </c>
      <c r="AK82">
        <f>AK74+AJ82</f>
        <v/>
      </c>
    </row>
    <row r="83" ht="60.75" customHeight="1" s="757">
      <c r="A83" s="7" t="inlineStr">
        <is>
          <t>AULA</t>
        </is>
      </c>
      <c r="B83" s="8" t="inlineStr">
        <is>
          <t>INICI</t>
        </is>
      </c>
      <c r="C83" s="8" t="inlineStr">
        <is>
          <t>FINAL</t>
        </is>
      </c>
      <c r="D83" s="8" t="inlineStr">
        <is>
          <t>AULA</t>
        </is>
      </c>
      <c r="E83" s="9" t="n">
        <v>45597</v>
      </c>
      <c r="F83" s="9" t="n">
        <v>45598</v>
      </c>
      <c r="G83" s="9" t="n">
        <v>45599</v>
      </c>
      <c r="H83" s="9" t="n">
        <v>45600</v>
      </c>
      <c r="I83" s="9" t="n">
        <v>45601</v>
      </c>
      <c r="J83" s="9" t="n">
        <v>45602</v>
      </c>
      <c r="K83" s="9" t="n">
        <v>45603</v>
      </c>
      <c r="L83" s="9" t="n">
        <v>45604</v>
      </c>
      <c r="M83" s="9" t="n">
        <v>45605</v>
      </c>
      <c r="N83" s="9" t="n">
        <v>45606</v>
      </c>
      <c r="O83" s="9" t="n">
        <v>45607</v>
      </c>
      <c r="P83" s="9" t="n">
        <v>45608</v>
      </c>
      <c r="Q83" s="9" t="n">
        <v>45609</v>
      </c>
      <c r="R83" s="9" t="n">
        <v>45610</v>
      </c>
      <c r="S83" s="9" t="n">
        <v>45611</v>
      </c>
      <c r="T83" s="9" t="n">
        <v>45612</v>
      </c>
      <c r="U83" s="9" t="n">
        <v>45613</v>
      </c>
      <c r="V83" s="9" t="n">
        <v>45614</v>
      </c>
      <c r="W83" s="9" t="n">
        <v>45615</v>
      </c>
      <c r="X83" s="9" t="n">
        <v>45616</v>
      </c>
      <c r="Y83" s="9" t="n">
        <v>45617</v>
      </c>
      <c r="Z83" s="9" t="n">
        <v>45618</v>
      </c>
      <c r="AA83" s="9" t="n">
        <v>45619</v>
      </c>
      <c r="AB83" s="9" t="n">
        <v>45620</v>
      </c>
      <c r="AC83" s="9" t="n">
        <v>45621</v>
      </c>
      <c r="AD83" s="9" t="n">
        <v>45622</v>
      </c>
      <c r="AE83" s="9" t="n">
        <v>45623</v>
      </c>
      <c r="AF83" s="9" t="n">
        <v>45624</v>
      </c>
      <c r="AG83" s="9" t="n">
        <v>45625</v>
      </c>
      <c r="AH83" s="9" t="n">
        <v>45626</v>
      </c>
      <c r="AI83" s="9" t="n"/>
      <c r="AJ83" s="4" t="n"/>
    </row>
    <row r="84" ht="18.75" customHeight="1" s="757">
      <c r="A84" s="10" t="inlineStr">
        <is>
          <t>GOOGLE MATINS</t>
        </is>
      </c>
      <c r="B84" s="11" t="n"/>
      <c r="C84" s="11" t="n"/>
      <c r="D84" s="12" t="n"/>
      <c r="E84" s="26" t="n"/>
      <c r="F84" s="24" t="n"/>
      <c r="G84" s="24" t="n"/>
      <c r="H84" s="331" t="n"/>
      <c r="I84" s="332" t="inlineStr">
        <is>
          <t>FCOS02 PABLO</t>
        </is>
      </c>
      <c r="J84" s="75" t="n"/>
      <c r="K84" s="75" t="n"/>
      <c r="L84" s="75" t="n"/>
      <c r="M84" s="24" t="n"/>
      <c r="N84" s="24" t="n"/>
      <c r="O84" s="279" t="n"/>
      <c r="P84" s="333" t="inlineStr">
        <is>
          <t>FCOO03 MONTSE</t>
        </is>
      </c>
      <c r="Q84" s="75" t="n"/>
      <c r="R84" s="756" t="n"/>
      <c r="S84" s="756" t="n"/>
      <c r="T84" s="24" t="n"/>
      <c r="U84" s="24" t="n"/>
      <c r="V84" s="756" t="n"/>
      <c r="W84" s="756" t="n"/>
      <c r="X84" s="756" t="n"/>
      <c r="Y84" s="756" t="n"/>
      <c r="Z84" s="756" t="n"/>
      <c r="AA84" s="24" t="n"/>
      <c r="AB84" s="24" t="n"/>
      <c r="AC84" s="756" t="n"/>
      <c r="AD84" s="756" t="n"/>
      <c r="AE84" s="756" t="n"/>
      <c r="AF84" s="756" t="n"/>
      <c r="AG84" s="85" t="n"/>
      <c r="AH84" s="24" t="n"/>
      <c r="AI84" s="756" t="n"/>
      <c r="AJ84" s="4" t="n"/>
      <c r="AK84" s="232" t="n">
        <v>113</v>
      </c>
      <c r="AL84" s="525" t="inlineStr">
        <is>
          <t>007- CEN 0208 (6H)</t>
        </is>
      </c>
      <c r="AM84" s="525" t="n"/>
      <c r="AN84" s="525" t="n"/>
      <c r="AO84" s="525" t="n"/>
      <c r="AP84" s="749" t="inlineStr">
        <is>
          <t>008 FCO 0208</t>
        </is>
      </c>
    </row>
    <row r="85" ht="19.5" customHeight="1" s="757" thickBot="1">
      <c r="A85" s="14" t="inlineStr">
        <is>
          <t>FIREFOX MATINS</t>
        </is>
      </c>
      <c r="B85" s="15" t="n"/>
      <c r="C85" s="15" t="n"/>
      <c r="D85" s="15" t="n"/>
      <c r="E85" s="27" t="n"/>
      <c r="F85" s="35" t="n"/>
      <c r="G85" s="35" t="n"/>
      <c r="H85" s="238" t="n"/>
      <c r="I85" s="238" t="n"/>
      <c r="J85" s="238" t="n"/>
      <c r="K85" s="238" t="n"/>
      <c r="L85" s="238" t="n"/>
      <c r="M85" s="35" t="n"/>
      <c r="N85" s="35" t="n"/>
      <c r="O85" s="308" t="inlineStr">
        <is>
          <t>UC0346_2</t>
        </is>
      </c>
      <c r="P85" s="312" t="n"/>
      <c r="Q85" s="258" t="n"/>
      <c r="R85" s="778" t="n"/>
      <c r="S85" s="778" t="n"/>
      <c r="T85" s="35" t="n"/>
      <c r="U85" s="35" t="n"/>
      <c r="V85" s="778" t="n"/>
      <c r="W85" s="778" t="n"/>
      <c r="X85" s="778" t="n"/>
      <c r="Y85" s="778" t="n"/>
      <c r="Z85" s="778" t="n"/>
      <c r="AA85" s="35" t="n"/>
      <c r="AB85" s="35" t="n"/>
      <c r="AC85" s="778" t="n"/>
      <c r="AD85" s="778" t="n"/>
      <c r="AE85" s="778" t="n"/>
      <c r="AF85" s="778" t="n"/>
      <c r="AG85" s="778" t="n"/>
      <c r="AH85" s="35" t="n"/>
      <c r="AI85" s="778" t="n"/>
      <c r="AJ85" s="4" t="n"/>
      <c r="AK85" s="233">
        <f>AK77+6</f>
        <v/>
      </c>
      <c r="AL85" s="750" t="inlineStr">
        <is>
          <t>012 -IMPE0108 2ª (5H)</t>
        </is>
      </c>
      <c r="AP85" s="626" t="inlineStr">
        <is>
          <t>018- FCO IMPE108</t>
        </is>
      </c>
      <c r="AQ85" s="626" t="n"/>
      <c r="AR85" s="626" t="n"/>
      <c r="AS85" s="265" t="n"/>
    </row>
    <row r="86" ht="16.5" customHeight="1" s="757" thickTop="1">
      <c r="A86" s="17" t="inlineStr">
        <is>
          <t>GOOGLE TARDA</t>
        </is>
      </c>
      <c r="B86" s="18" t="n"/>
      <c r="C86" s="18" t="n"/>
      <c r="D86" s="18" t="n"/>
      <c r="E86" s="28" t="n"/>
      <c r="F86" s="39" t="n"/>
      <c r="G86" s="39" t="n"/>
      <c r="H86" s="261" t="n"/>
      <c r="I86" s="755" t="n"/>
      <c r="J86" s="755" t="n"/>
      <c r="K86" s="755" t="n"/>
      <c r="L86" s="755" t="n"/>
      <c r="M86" s="39" t="n"/>
      <c r="N86" s="39" t="n"/>
      <c r="O86" s="755" t="n"/>
      <c r="P86" s="755" t="n"/>
      <c r="Q86" s="755" t="n"/>
      <c r="R86" s="755" t="n"/>
      <c r="S86" s="755" t="n"/>
      <c r="T86" s="39" t="n"/>
      <c r="U86" s="39" t="n"/>
      <c r="V86" s="755" t="n"/>
      <c r="W86" s="755" t="n"/>
      <c r="X86" s="755" t="n"/>
      <c r="Y86" s="755" t="n"/>
      <c r="Z86" s="755" t="n"/>
      <c r="AA86" s="39" t="n"/>
      <c r="AB86" s="39" t="n"/>
      <c r="AC86" s="755" t="n"/>
      <c r="AD86" s="755" t="n"/>
      <c r="AE86" s="755" t="n"/>
      <c r="AF86" s="755" t="n"/>
      <c r="AG86" s="755" t="n"/>
      <c r="AH86" s="39" t="n"/>
      <c r="AI86" s="755" t="n"/>
      <c r="AJ86" s="4" t="n"/>
      <c r="AL86" s="735" t="inlineStr">
        <is>
          <t>021+022 FCO</t>
        </is>
      </c>
    </row>
    <row r="87" ht="15.75" customHeight="1" s="757">
      <c r="A87" s="10" t="inlineStr">
        <is>
          <t>FIREFOX TARDA</t>
        </is>
      </c>
      <c r="B87" s="11" t="n"/>
      <c r="C87" s="11" t="n"/>
      <c r="D87" s="12" t="n"/>
      <c r="E87" s="26" t="n"/>
      <c r="F87" s="24" t="n"/>
      <c r="G87" s="24" t="n"/>
      <c r="H87" s="756" t="n"/>
      <c r="I87" s="756" t="n"/>
      <c r="J87" s="756" t="n"/>
      <c r="K87" s="756" t="n"/>
      <c r="L87" s="756" t="n"/>
      <c r="M87" s="24" t="n"/>
      <c r="N87" s="24" t="n"/>
      <c r="O87" s="756" t="n"/>
      <c r="P87" s="756" t="n"/>
      <c r="Q87" s="756" t="n"/>
      <c r="R87" s="756" t="n"/>
      <c r="S87" s="756" t="n"/>
      <c r="T87" s="24" t="n"/>
      <c r="U87" s="24" t="n"/>
      <c r="V87" s="756" t="n"/>
      <c r="W87" s="756" t="n"/>
      <c r="X87" s="756" t="n"/>
      <c r="Y87" s="756" t="n"/>
      <c r="Z87" s="756" t="n"/>
      <c r="AA87" s="24" t="n"/>
      <c r="AB87" s="24" t="n"/>
      <c r="AC87" s="756" t="n"/>
      <c r="AD87" s="756" t="n"/>
      <c r="AE87" s="756" t="n"/>
      <c r="AF87" s="756" t="n"/>
      <c r="AG87" s="756" t="n"/>
      <c r="AH87" s="24" t="n"/>
      <c r="AI87" s="756" t="n"/>
      <c r="AJ87" s="4" t="n"/>
    </row>
    <row r="88" ht="15.75" customHeight="1" s="757">
      <c r="A88" s="10" t="inlineStr">
        <is>
          <t>TARRAGONA matí</t>
        </is>
      </c>
      <c r="B88" s="11" t="n"/>
      <c r="C88" s="11" t="n"/>
      <c r="D88" s="12" t="n"/>
      <c r="E88" s="26" t="n"/>
      <c r="F88" s="24" t="n"/>
      <c r="G88" s="24" t="n"/>
      <c r="H88" s="285" t="inlineStr">
        <is>
          <t>RAF</t>
        </is>
      </c>
      <c r="I88" s="756" t="n"/>
      <c r="J88" s="284" t="n"/>
      <c r="K88" s="756" t="n"/>
      <c r="L88" s="756" t="n"/>
      <c r="M88" s="24" t="n"/>
      <c r="N88" s="24" t="n"/>
      <c r="O88" s="284" t="n"/>
      <c r="P88" s="756" t="n"/>
      <c r="Q88" s="284" t="n"/>
      <c r="R88" s="756" t="n"/>
      <c r="S88" s="756" t="n"/>
      <c r="T88" s="24" t="n"/>
      <c r="U88" s="24" t="n"/>
      <c r="V88" s="284" t="n"/>
      <c r="W88" s="756" t="n"/>
      <c r="X88" s="756" t="n"/>
      <c r="Y88" s="756" t="n"/>
      <c r="Z88" s="756" t="n"/>
      <c r="AA88" s="24" t="n"/>
      <c r="AB88" s="24" t="n"/>
      <c r="AC88" s="292" t="inlineStr">
        <is>
          <t>RAF??</t>
        </is>
      </c>
      <c r="AD88" s="756" t="n"/>
      <c r="AE88" s="756" t="n"/>
      <c r="AF88" s="756" t="n"/>
      <c r="AG88" s="756" t="n"/>
      <c r="AH88" s="24" t="n"/>
      <c r="AI88" s="756" t="n"/>
      <c r="AJ88" s="4" t="n"/>
      <c r="AL88" s="619" t="inlineStr">
        <is>
          <t xml:space="preserve">EAPC - ACTIC AVANÇAT C4,C6,C8 </t>
        </is>
      </c>
      <c r="AM88" s="619" t="n"/>
      <c r="AN88" s="619" t="n"/>
      <c r="AO88" s="619" t="n"/>
      <c r="AP88" s="619" t="n"/>
      <c r="AQ88" s="619" t="n"/>
      <c r="AS88" s="621" t="inlineStr">
        <is>
          <t>EAPC - PLANNER</t>
        </is>
      </c>
      <c r="AT88" s="621" t="n"/>
      <c r="AU88" s="621" t="n"/>
      <c r="AV88" s="621" t="n"/>
    </row>
    <row r="89" ht="15.75" customHeight="1" s="757">
      <c r="A89" s="10" t="inlineStr">
        <is>
          <t>TARRAGONA tarde</t>
        </is>
      </c>
      <c r="B89" s="11" t="n"/>
      <c r="C89" s="11" t="n"/>
      <c r="D89" s="12" t="n"/>
      <c r="E89" s="26" t="n"/>
      <c r="F89" s="24" t="n"/>
      <c r="G89" s="24" t="n"/>
      <c r="H89" s="756" t="n"/>
      <c r="I89" s="756" t="n"/>
      <c r="J89" s="756" t="n"/>
      <c r="K89" s="756" t="n"/>
      <c r="L89" s="756" t="n"/>
      <c r="M89" s="24" t="n"/>
      <c r="N89" s="24" t="n"/>
      <c r="O89" s="756" t="n"/>
      <c r="P89" s="756" t="n"/>
      <c r="Q89" s="756" t="n"/>
      <c r="R89" s="756" t="n"/>
      <c r="S89" s="756" t="n"/>
      <c r="T89" s="24" t="n"/>
      <c r="U89" s="24" t="n"/>
      <c r="V89" s="756" t="n"/>
      <c r="W89" s="756" t="n"/>
      <c r="X89" s="756" t="n"/>
      <c r="Y89" s="756" t="n"/>
      <c r="Z89" s="756" t="n"/>
      <c r="AA89" s="24" t="n"/>
      <c r="AB89" s="24" t="n"/>
      <c r="AC89" s="756" t="n"/>
      <c r="AD89" s="756" t="n"/>
      <c r="AE89" s="756" t="n"/>
      <c r="AF89" s="756" t="n"/>
      <c r="AG89" s="756" t="n"/>
      <c r="AH89" s="24" t="n"/>
      <c r="AI89" s="756" t="n"/>
      <c r="AJ89" s="4" t="n"/>
    </row>
    <row r="90" ht="19.5" customHeight="1" s="757" thickBot="1">
      <c r="A90" s="788" t="inlineStr">
        <is>
          <t>DESEMBRE</t>
        </is>
      </c>
      <c r="B90" s="156" t="n"/>
      <c r="C90" s="156" t="n"/>
      <c r="D90" s="156" t="n"/>
      <c r="E90" s="156" t="n"/>
      <c r="F90" s="156" t="n"/>
      <c r="G90" s="156" t="n"/>
      <c r="H90" s="156" t="n"/>
      <c r="I90" s="156" t="n"/>
      <c r="J90" s="156" t="n"/>
      <c r="K90" s="156" t="n"/>
      <c r="L90" s="156" t="n"/>
      <c r="M90" s="156" t="n"/>
      <c r="N90" s="156" t="n"/>
      <c r="O90" s="156" t="n"/>
      <c r="P90" s="156" t="n"/>
      <c r="Q90" s="156" t="n"/>
      <c r="R90" s="156" t="n"/>
      <c r="S90" s="156" t="n"/>
      <c r="T90" s="156" t="n"/>
      <c r="U90" s="156" t="n"/>
      <c r="V90" s="156" t="n"/>
      <c r="W90" s="156" t="n"/>
      <c r="X90" s="156" t="n"/>
      <c r="Y90" s="156" t="n"/>
      <c r="Z90" s="156" t="n"/>
      <c r="AA90" s="156" t="n"/>
      <c r="AB90" s="156" t="n"/>
      <c r="AC90" s="156" t="n"/>
      <c r="AD90" s="156" t="n"/>
      <c r="AE90" s="156" t="n"/>
      <c r="AF90" s="156" t="n"/>
      <c r="AG90" s="156" t="n"/>
      <c r="AH90" s="156" t="n"/>
      <c r="AI90" s="142" t="n"/>
      <c r="AJ90" s="524" t="n">
        <v>14</v>
      </c>
      <c r="AK90">
        <f>AK82+AJ90</f>
        <v/>
      </c>
    </row>
    <row r="91" ht="68.25" customHeight="1" s="757">
      <c r="A91" s="7" t="inlineStr">
        <is>
          <t>AULA</t>
        </is>
      </c>
      <c r="B91" s="8" t="inlineStr">
        <is>
          <t>INICI</t>
        </is>
      </c>
      <c r="C91" s="8" t="inlineStr">
        <is>
          <t>FINAL</t>
        </is>
      </c>
      <c r="D91" s="8" t="inlineStr">
        <is>
          <t>AULA</t>
        </is>
      </c>
      <c r="E91" s="9" t="n">
        <v>45627</v>
      </c>
      <c r="F91" s="9" t="n">
        <v>45628</v>
      </c>
      <c r="G91" s="9" t="n">
        <v>45629</v>
      </c>
      <c r="H91" s="9" t="n">
        <v>45630</v>
      </c>
      <c r="I91" s="9" t="n">
        <v>45631</v>
      </c>
      <c r="J91" s="9" t="n">
        <v>45632</v>
      </c>
      <c r="K91" s="9" t="n">
        <v>45633</v>
      </c>
      <c r="L91" s="9" t="n">
        <v>45634</v>
      </c>
      <c r="M91" s="9" t="n">
        <v>45635</v>
      </c>
      <c r="N91" s="9" t="n">
        <v>45636</v>
      </c>
      <c r="O91" s="9" t="n">
        <v>45637</v>
      </c>
      <c r="P91" s="9" t="n">
        <v>45638</v>
      </c>
      <c r="Q91" s="9" t="n">
        <v>45639</v>
      </c>
      <c r="R91" s="9" t="n">
        <v>45640</v>
      </c>
      <c r="S91" s="9" t="n">
        <v>45641</v>
      </c>
      <c r="T91" s="9" t="n">
        <v>45642</v>
      </c>
      <c r="U91" s="9" t="n">
        <v>45643</v>
      </c>
      <c r="V91" s="9" t="n">
        <v>45644</v>
      </c>
      <c r="W91" s="9" t="n">
        <v>45645</v>
      </c>
      <c r="X91" s="9" t="n">
        <v>45646</v>
      </c>
      <c r="Y91" s="9" t="n">
        <v>45647</v>
      </c>
      <c r="Z91" s="9" t="n">
        <v>45648</v>
      </c>
      <c r="AA91" s="9" t="n">
        <v>45649</v>
      </c>
      <c r="AB91" s="9" t="n">
        <v>45650</v>
      </c>
      <c r="AC91" s="9" t="n">
        <v>45651</v>
      </c>
      <c r="AD91" s="9" t="n">
        <v>45652</v>
      </c>
      <c r="AE91" s="9" t="n">
        <v>45653</v>
      </c>
      <c r="AF91" s="9" t="n">
        <v>45654</v>
      </c>
      <c r="AG91" s="9" t="n">
        <v>45655</v>
      </c>
      <c r="AH91" s="9" t="n">
        <v>45656</v>
      </c>
      <c r="AI91" s="9" t="n">
        <v>45657</v>
      </c>
      <c r="AJ91" s="4" t="n"/>
    </row>
    <row r="92" ht="15.75" customHeight="1" s="757">
      <c r="A92" s="10" t="inlineStr">
        <is>
          <t>GOOGLE MATINS</t>
        </is>
      </c>
      <c r="B92" s="11" t="n"/>
      <c r="C92" s="11" t="n"/>
      <c r="D92" s="12" t="n"/>
      <c r="E92" s="24" t="n"/>
      <c r="F92" s="756" t="n"/>
      <c r="G92" s="756" t="n"/>
      <c r="H92" s="756" t="n"/>
      <c r="I92" s="756" t="n"/>
      <c r="J92" s="26" t="n"/>
      <c r="K92" s="24" t="n"/>
      <c r="L92" s="24" t="n"/>
      <c r="M92" s="756" t="n"/>
      <c r="N92" s="756" t="n"/>
      <c r="O92" s="756" t="n"/>
      <c r="P92" s="756" t="n"/>
      <c r="Q92" s="756" t="n"/>
      <c r="R92" s="24" t="n"/>
      <c r="S92" s="24" t="n"/>
      <c r="T92" s="756" t="n"/>
      <c r="U92" s="756" t="n"/>
      <c r="V92" s="756" t="n"/>
      <c r="W92" s="756" t="n"/>
      <c r="X92" s="756" t="n"/>
      <c r="Y92" s="24" t="n"/>
      <c r="Z92" s="24" t="n"/>
      <c r="AA92" s="69" t="n"/>
      <c r="AB92" s="69" t="n"/>
      <c r="AC92" s="26" t="n"/>
      <c r="AD92" s="26" t="n"/>
      <c r="AE92" s="69" t="n"/>
      <c r="AF92" s="24" t="n"/>
      <c r="AG92" s="24" t="n"/>
      <c r="AH92" s="69" t="n"/>
      <c r="AI92" s="69" t="n"/>
      <c r="AJ92" s="4" t="n"/>
    </row>
    <row r="93" ht="16.5" customHeight="1" s="757" thickBot="1">
      <c r="A93" s="14" t="inlineStr">
        <is>
          <t>FIREFOX MATINS</t>
        </is>
      </c>
      <c r="B93" s="15" t="n"/>
      <c r="C93" s="15" t="n"/>
      <c r="D93" s="15" t="n"/>
      <c r="E93" s="35" t="n"/>
      <c r="F93" s="778" t="n"/>
      <c r="G93" s="778" t="n"/>
      <c r="H93" s="778" t="n"/>
      <c r="I93" s="778" t="n"/>
      <c r="J93" s="27" t="n"/>
      <c r="K93" s="35" t="n"/>
      <c r="L93" s="35" t="n"/>
      <c r="M93" s="778" t="n"/>
      <c r="N93" s="778" t="n"/>
      <c r="O93" s="778" t="n"/>
      <c r="P93" s="778" t="n"/>
      <c r="Q93" s="778" t="n"/>
      <c r="R93" s="35" t="n"/>
      <c r="S93" s="35" t="n"/>
      <c r="T93" s="778" t="n"/>
      <c r="U93" s="778" t="n"/>
      <c r="V93" s="778" t="n"/>
      <c r="W93" s="778" t="n"/>
      <c r="X93" s="778" t="n"/>
      <c r="Y93" s="35" t="n"/>
      <c r="Z93" s="35" t="n"/>
      <c r="AA93" s="224" t="n"/>
      <c r="AB93" s="224" t="n"/>
      <c r="AC93" s="27" t="n"/>
      <c r="AD93" s="27" t="n"/>
      <c r="AE93" s="224" t="n"/>
      <c r="AF93" s="35" t="n"/>
      <c r="AG93" s="35" t="n"/>
      <c r="AH93" s="224" t="n"/>
      <c r="AI93" s="224" t="n"/>
      <c r="AJ93" s="4" t="n"/>
    </row>
    <row r="94" ht="16.5" customHeight="1" s="757" thickTop="1">
      <c r="A94" s="17" t="inlineStr">
        <is>
          <t>GOOGLE TARDA</t>
        </is>
      </c>
      <c r="B94" s="18" t="n"/>
      <c r="C94" s="18" t="n"/>
      <c r="D94" s="18" t="n"/>
      <c r="E94" s="39" t="n"/>
      <c r="F94" s="755" t="n"/>
      <c r="G94" s="755" t="n"/>
      <c r="H94" s="755" t="n"/>
      <c r="I94" s="755" t="n"/>
      <c r="J94" s="28" t="n"/>
      <c r="K94" s="39" t="n"/>
      <c r="L94" s="39" t="n"/>
      <c r="M94" s="755" t="n"/>
      <c r="N94" s="755" t="n"/>
      <c r="O94" s="755" t="n"/>
      <c r="P94" s="755" t="n"/>
      <c r="Q94" s="755" t="n"/>
      <c r="R94" s="39" t="n"/>
      <c r="S94" s="39" t="n"/>
      <c r="T94" s="755" t="n"/>
      <c r="U94" s="755" t="n"/>
      <c r="V94" s="755" t="n"/>
      <c r="W94" s="755" t="n"/>
      <c r="X94" s="755" t="n"/>
      <c r="Y94" s="39" t="n"/>
      <c r="Z94" s="39" t="n"/>
      <c r="AA94" s="135" t="n"/>
      <c r="AB94" s="135" t="n"/>
      <c r="AC94" s="28" t="n"/>
      <c r="AD94" s="28" t="n"/>
      <c r="AE94" s="135" t="n"/>
      <c r="AF94" s="39" t="n"/>
      <c r="AG94" s="39" t="n"/>
      <c r="AH94" s="135" t="n"/>
      <c r="AI94" s="135" t="n"/>
      <c r="AJ94" s="4" t="n"/>
    </row>
    <row r="95" ht="15.75" customHeight="1" s="757">
      <c r="A95" s="10" t="inlineStr">
        <is>
          <t>FIREFOX TARDA</t>
        </is>
      </c>
      <c r="B95" s="11" t="n"/>
      <c r="C95" s="11" t="n"/>
      <c r="D95" s="12" t="n"/>
      <c r="E95" s="24" t="n"/>
      <c r="F95" s="756" t="n"/>
      <c r="G95" s="756" t="n"/>
      <c r="H95" s="756" t="n"/>
      <c r="I95" s="756" t="n"/>
      <c r="J95" s="26" t="n"/>
      <c r="K95" s="24" t="n"/>
      <c r="L95" s="24" t="n"/>
      <c r="M95" s="756" t="n"/>
      <c r="N95" s="756" t="n"/>
      <c r="O95" s="756" t="n"/>
      <c r="P95" s="756" t="n"/>
      <c r="Q95" s="756" t="n"/>
      <c r="R95" s="24" t="n"/>
      <c r="S95" s="24" t="n"/>
      <c r="T95" s="756" t="n"/>
      <c r="U95" s="756" t="n"/>
      <c r="V95" s="756" t="n"/>
      <c r="W95" s="756" t="n"/>
      <c r="X95" s="756" t="n"/>
      <c r="Y95" s="24" t="n"/>
      <c r="Z95" s="24" t="n"/>
      <c r="AA95" s="69" t="n"/>
      <c r="AB95" s="69" t="n"/>
      <c r="AC95" s="26" t="n"/>
      <c r="AD95" s="26" t="n"/>
      <c r="AE95" s="69" t="n"/>
      <c r="AF95" s="24" t="n"/>
      <c r="AG95" s="24" t="n"/>
      <c r="AH95" s="69" t="n"/>
      <c r="AI95" s="69" t="n"/>
      <c r="AJ95" s="4" t="n"/>
    </row>
    <row r="96" ht="15.75" customHeight="1" s="757">
      <c r="A96" s="10" t="inlineStr">
        <is>
          <t>FIREFOX TARDA</t>
        </is>
      </c>
      <c r="B96" s="11" t="n"/>
      <c r="C96" s="11" t="n"/>
      <c r="D96" s="12" t="n"/>
      <c r="E96" s="24" t="n"/>
      <c r="F96" s="756" t="n"/>
      <c r="G96" s="756" t="n"/>
      <c r="H96" s="756" t="n"/>
      <c r="I96" s="756" t="n"/>
      <c r="J96" s="26" t="n"/>
      <c r="K96" s="24" t="n"/>
      <c r="L96" s="24" t="n"/>
      <c r="M96" s="756" t="n"/>
      <c r="N96" s="756" t="n"/>
      <c r="O96" s="756" t="n"/>
      <c r="P96" s="756" t="n"/>
      <c r="Q96" s="756" t="n"/>
      <c r="R96" s="24" t="n"/>
      <c r="S96" s="24" t="n"/>
      <c r="T96" s="756" t="n"/>
      <c r="U96" s="756" t="n"/>
      <c r="V96" s="756" t="n"/>
      <c r="W96" s="756" t="n"/>
      <c r="X96" s="756" t="n"/>
      <c r="Y96" s="24" t="n"/>
      <c r="Z96" s="24" t="n"/>
      <c r="AA96" s="69" t="n"/>
      <c r="AB96" s="69" t="n"/>
      <c r="AC96" s="26" t="n"/>
      <c r="AD96" s="26" t="n"/>
      <c r="AE96" s="69" t="n"/>
      <c r="AF96" s="24" t="n"/>
      <c r="AG96" s="24" t="n"/>
      <c r="AH96" s="69" t="n"/>
      <c r="AI96" s="69" t="n"/>
      <c r="AJ96" s="4" t="n"/>
    </row>
  </sheetData>
  <mergeCells count="52">
    <mergeCell ref="AL9:AP9"/>
    <mergeCell ref="AL7:AQ7"/>
    <mergeCell ref="AL14:AO14"/>
    <mergeCell ref="A10:AI10"/>
    <mergeCell ref="AL46:AP46"/>
    <mergeCell ref="AL53:AN53"/>
    <mergeCell ref="AL28:AN28"/>
    <mergeCell ref="A58:AI58"/>
    <mergeCell ref="A34:AI34"/>
    <mergeCell ref="AP84:AR84"/>
    <mergeCell ref="AL13:AN13"/>
    <mergeCell ref="AO21:AR21"/>
    <mergeCell ref="AR78:AT78"/>
    <mergeCell ref="AL1:AO1"/>
    <mergeCell ref="AR9:AV9"/>
    <mergeCell ref="AL12:AN12"/>
    <mergeCell ref="A82:AI82"/>
    <mergeCell ref="AL85:AO85"/>
    <mergeCell ref="AL69:AO69"/>
    <mergeCell ref="AQ28:AS28"/>
    <mergeCell ref="AL22:AO22"/>
    <mergeCell ref="AL45:AP45"/>
    <mergeCell ref="AL30:AO30"/>
    <mergeCell ref="AL41:AP41"/>
    <mergeCell ref="AL37:AP37"/>
    <mergeCell ref="AL6:AO6"/>
    <mergeCell ref="AL4:AN4"/>
    <mergeCell ref="AL2:AO2"/>
    <mergeCell ref="A90:AI90"/>
    <mergeCell ref="AR2:AW2"/>
    <mergeCell ref="AL21:AM21"/>
    <mergeCell ref="A66:AI66"/>
    <mergeCell ref="AL77:AO77"/>
    <mergeCell ref="A18:AI18"/>
    <mergeCell ref="AO5:AP5"/>
    <mergeCell ref="AR30:AV30"/>
    <mergeCell ref="A74:AI74"/>
    <mergeCell ref="AP13:AU13"/>
    <mergeCell ref="A50:AI50"/>
    <mergeCell ref="AR5:AS5"/>
    <mergeCell ref="A26:AI26"/>
    <mergeCell ref="AL5:AM5"/>
    <mergeCell ref="A2:AI2"/>
    <mergeCell ref="AQ45:AS45"/>
    <mergeCell ref="A42:AI42"/>
    <mergeCell ref="H1:P1"/>
    <mergeCell ref="AL38:AP38"/>
    <mergeCell ref="AL29:AP29"/>
    <mergeCell ref="AL54:AP54"/>
    <mergeCell ref="AS22:AX22"/>
    <mergeCell ref="AL86:AN86"/>
    <mergeCell ref="AL71:AO71"/>
  </mergeCells>
  <pageMargins left="0.1181102362204725" right="0.1181102362204725" top="0.5511811023622047" bottom="0.5511811023622047" header="0.3149606299212598" footer="0.3149606299212598"/>
  <pageSetup orientation="landscape" paperSize="9" scale="23" horizontalDpi="1200" verticalDpi="12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Rafael Cortes Contreras</dc:creator>
  <dcterms:created xsi:type="dcterms:W3CDTF">2021-02-01T08:34:00Z</dcterms:created>
  <dcterms:modified xsi:type="dcterms:W3CDTF">2026-09-28T11:25:26Z</dcterms:modified>
  <cp:lastModifiedBy>Administració Multimèdia Tarragona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B7CC27428D524B8E9B85FC7333EA036F</vt:lpwstr>
  </property>
  <property name="KSOProductBuildVer" fmtid="{D5CDD505-2E9C-101B-9397-08002B2CF9AE}" pid="3">
    <vt:lpwstr>3082-11.2.0.11380</vt:lpwstr>
  </property>
  <property name="ContentTypeId" fmtid="{D5CDD505-2E9C-101B-9397-08002B2CF9AE}" pid="4">
    <vt:lpwstr>0x0101004402D4EEEBF16F40920FC312720DF68D</vt:lpwstr>
  </property>
  <property name="MediaServiceImageTags" fmtid="{D5CDD505-2E9C-101B-9397-08002B2CF9AE}" pid="5">
    <vt:lpwstr/>
  </property>
</Properties>
</file>